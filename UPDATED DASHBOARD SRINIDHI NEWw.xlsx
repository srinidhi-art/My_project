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91994\Downloads\"/>
    </mc:Choice>
  </mc:AlternateContent>
  <xr:revisionPtr revIDLastSave="0" documentId="8_{E333285C-F5D6-4412-AEF2-DD311DA85AF5}" xr6:coauthVersionLast="47" xr6:coauthVersionMax="47" xr10:uidLastSave="{00000000-0000-0000-0000-000000000000}"/>
  <bookViews>
    <workbookView xWindow="-108" yWindow="-108" windowWidth="23256" windowHeight="12456" activeTab="2" xr2:uid="{914F7250-EF44-4823-8565-9A4BA0EF7E33}"/>
  </bookViews>
  <sheets>
    <sheet name="STUDENT PERFORMANCE" sheetId="1" r:id="rId1"/>
    <sheet name="DASHBOARD ANALYSIS" sheetId="2" r:id="rId2"/>
    <sheet name="DASHBOARD 1" sheetId="3" r:id="rId3"/>
    <sheet name="INSIGHT ANALYSIS" sheetId="5" r:id="rId4"/>
    <sheet name="DASHBOARD 2" sheetId="6" r:id="rId5"/>
  </sheets>
  <definedNames>
    <definedName name="Slicer_Course">#N/A</definedName>
    <definedName name="Slicer_Gender">#N/A</definedName>
    <definedName name="Slicer_Semester1">#N/A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4" i="2" l="1"/>
  <c r="B3" i="2"/>
  <c r="B1" i="2" l="1"/>
  <c r="B2" i="2" s="1"/>
  <c r="M601" i="1" l="1"/>
  <c r="N601" i="1" s="1"/>
  <c r="L601" i="1"/>
  <c r="M600" i="1"/>
  <c r="N600" i="1" s="1"/>
  <c r="L600" i="1"/>
  <c r="M599" i="1"/>
  <c r="N599" i="1" s="1"/>
  <c r="L599" i="1"/>
  <c r="M598" i="1"/>
  <c r="N598" i="1" s="1"/>
  <c r="L598" i="1"/>
  <c r="M597" i="1"/>
  <c r="N597" i="1" s="1"/>
  <c r="L597" i="1"/>
  <c r="M596" i="1"/>
  <c r="N596" i="1" s="1"/>
  <c r="L596" i="1"/>
  <c r="M595" i="1"/>
  <c r="N595" i="1" s="1"/>
  <c r="L595" i="1"/>
  <c r="M594" i="1"/>
  <c r="N594" i="1" s="1"/>
  <c r="L594" i="1"/>
  <c r="M593" i="1"/>
  <c r="N593" i="1" s="1"/>
  <c r="L593" i="1"/>
  <c r="M592" i="1"/>
  <c r="N592" i="1" s="1"/>
  <c r="L592" i="1"/>
  <c r="M591" i="1"/>
  <c r="N591" i="1" s="1"/>
  <c r="L591" i="1"/>
  <c r="M590" i="1"/>
  <c r="N590" i="1" s="1"/>
  <c r="L590" i="1"/>
  <c r="M589" i="1"/>
  <c r="N589" i="1" s="1"/>
  <c r="L589" i="1"/>
  <c r="N588" i="1"/>
  <c r="M588" i="1"/>
  <c r="L588" i="1"/>
  <c r="N587" i="1"/>
  <c r="M587" i="1"/>
  <c r="L587" i="1"/>
  <c r="M586" i="1"/>
  <c r="L586" i="1"/>
  <c r="N586" i="1" s="1"/>
  <c r="M585" i="1"/>
  <c r="N585" i="1" s="1"/>
  <c r="L585" i="1"/>
  <c r="M584" i="1"/>
  <c r="N584" i="1" s="1"/>
  <c r="L584" i="1"/>
  <c r="M583" i="1"/>
  <c r="N583" i="1" s="1"/>
  <c r="L583" i="1"/>
  <c r="M582" i="1"/>
  <c r="N582" i="1" s="1"/>
  <c r="L582" i="1"/>
  <c r="M581" i="1"/>
  <c r="N581" i="1" s="1"/>
  <c r="L581" i="1"/>
  <c r="N580" i="1"/>
  <c r="M580" i="1"/>
  <c r="L580" i="1"/>
  <c r="N579" i="1"/>
  <c r="M579" i="1"/>
  <c r="L579" i="1"/>
  <c r="M578" i="1"/>
  <c r="L578" i="1"/>
  <c r="N578" i="1" s="1"/>
  <c r="M577" i="1"/>
  <c r="N577" i="1" s="1"/>
  <c r="L577" i="1"/>
  <c r="M576" i="1"/>
  <c r="N576" i="1" s="1"/>
  <c r="L576" i="1"/>
  <c r="M575" i="1"/>
  <c r="N575" i="1" s="1"/>
  <c r="L575" i="1"/>
  <c r="M574" i="1"/>
  <c r="N574" i="1" s="1"/>
  <c r="L574" i="1"/>
  <c r="M573" i="1"/>
  <c r="N573" i="1" s="1"/>
  <c r="L573" i="1"/>
  <c r="N572" i="1"/>
  <c r="M572" i="1"/>
  <c r="L572" i="1"/>
  <c r="N571" i="1"/>
  <c r="M571" i="1"/>
  <c r="L571" i="1"/>
  <c r="M570" i="1"/>
  <c r="L570" i="1"/>
  <c r="N570" i="1" s="1"/>
  <c r="M569" i="1"/>
  <c r="L569" i="1"/>
  <c r="M568" i="1"/>
  <c r="N568" i="1" s="1"/>
  <c r="L568" i="1"/>
  <c r="M567" i="1"/>
  <c r="N567" i="1" s="1"/>
  <c r="L567" i="1"/>
  <c r="M566" i="1"/>
  <c r="N566" i="1" s="1"/>
  <c r="L566" i="1"/>
  <c r="M565" i="1"/>
  <c r="N565" i="1" s="1"/>
  <c r="L565" i="1"/>
  <c r="N564" i="1"/>
  <c r="M564" i="1"/>
  <c r="L564" i="1"/>
  <c r="N563" i="1"/>
  <c r="M563" i="1"/>
  <c r="L563" i="1"/>
  <c r="M562" i="1"/>
  <c r="L562" i="1"/>
  <c r="N562" i="1" s="1"/>
  <c r="M561" i="1"/>
  <c r="N561" i="1" s="1"/>
  <c r="L561" i="1"/>
  <c r="M560" i="1"/>
  <c r="N560" i="1" s="1"/>
  <c r="L560" i="1"/>
  <c r="M559" i="1"/>
  <c r="N559" i="1" s="1"/>
  <c r="L559" i="1"/>
  <c r="M558" i="1"/>
  <c r="N558" i="1" s="1"/>
  <c r="L558" i="1"/>
  <c r="M557" i="1"/>
  <c r="N557" i="1" s="1"/>
  <c r="L557" i="1"/>
  <c r="N556" i="1"/>
  <c r="M556" i="1"/>
  <c r="L556" i="1"/>
  <c r="N555" i="1"/>
  <c r="M555" i="1"/>
  <c r="L555" i="1"/>
  <c r="M554" i="1"/>
  <c r="L554" i="1"/>
  <c r="N554" i="1" s="1"/>
  <c r="M553" i="1"/>
  <c r="L553" i="1"/>
  <c r="M552" i="1"/>
  <c r="N552" i="1" s="1"/>
  <c r="L552" i="1"/>
  <c r="M551" i="1"/>
  <c r="N551" i="1" s="1"/>
  <c r="L551" i="1"/>
  <c r="M550" i="1"/>
  <c r="N550" i="1" s="1"/>
  <c r="L550" i="1"/>
  <c r="M549" i="1"/>
  <c r="N549" i="1" s="1"/>
  <c r="L549" i="1"/>
  <c r="N548" i="1"/>
  <c r="M548" i="1"/>
  <c r="L548" i="1"/>
  <c r="N547" i="1"/>
  <c r="M547" i="1"/>
  <c r="L547" i="1"/>
  <c r="M546" i="1"/>
  <c r="L546" i="1"/>
  <c r="N546" i="1" s="1"/>
  <c r="M545" i="1"/>
  <c r="N545" i="1" s="1"/>
  <c r="L545" i="1"/>
  <c r="M544" i="1"/>
  <c r="N544" i="1" s="1"/>
  <c r="L544" i="1"/>
  <c r="M543" i="1"/>
  <c r="N543" i="1" s="1"/>
  <c r="L543" i="1"/>
  <c r="M542" i="1"/>
  <c r="N542" i="1" s="1"/>
  <c r="L542" i="1"/>
  <c r="M541" i="1"/>
  <c r="N541" i="1" s="1"/>
  <c r="L541" i="1"/>
  <c r="N540" i="1"/>
  <c r="M540" i="1"/>
  <c r="L540" i="1"/>
  <c r="N539" i="1"/>
  <c r="M539" i="1"/>
  <c r="L539" i="1"/>
  <c r="M538" i="1"/>
  <c r="L538" i="1"/>
  <c r="N538" i="1" s="1"/>
  <c r="M537" i="1"/>
  <c r="L537" i="1"/>
  <c r="M536" i="1"/>
  <c r="N536" i="1" s="1"/>
  <c r="L536" i="1"/>
  <c r="M535" i="1"/>
  <c r="N535" i="1" s="1"/>
  <c r="L535" i="1"/>
  <c r="M534" i="1"/>
  <c r="N534" i="1" s="1"/>
  <c r="L534" i="1"/>
  <c r="M533" i="1"/>
  <c r="N533" i="1" s="1"/>
  <c r="L533" i="1"/>
  <c r="N532" i="1"/>
  <c r="M532" i="1"/>
  <c r="L532" i="1"/>
  <c r="N531" i="1"/>
  <c r="M531" i="1"/>
  <c r="L531" i="1"/>
  <c r="M530" i="1"/>
  <c r="L530" i="1"/>
  <c r="N530" i="1" s="1"/>
  <c r="M529" i="1"/>
  <c r="N529" i="1" s="1"/>
  <c r="L529" i="1"/>
  <c r="M528" i="1"/>
  <c r="N528" i="1" s="1"/>
  <c r="L528" i="1"/>
  <c r="M527" i="1"/>
  <c r="N527" i="1" s="1"/>
  <c r="L527" i="1"/>
  <c r="M526" i="1"/>
  <c r="N526" i="1" s="1"/>
  <c r="L526" i="1"/>
  <c r="M525" i="1"/>
  <c r="N525" i="1" s="1"/>
  <c r="L525" i="1"/>
  <c r="N524" i="1"/>
  <c r="M524" i="1"/>
  <c r="L524" i="1"/>
  <c r="N523" i="1"/>
  <c r="M523" i="1"/>
  <c r="L523" i="1"/>
  <c r="M522" i="1"/>
  <c r="L522" i="1"/>
  <c r="N522" i="1" s="1"/>
  <c r="M521" i="1"/>
  <c r="L521" i="1"/>
  <c r="M520" i="1"/>
  <c r="N520" i="1" s="1"/>
  <c r="L520" i="1"/>
  <c r="M519" i="1"/>
  <c r="N519" i="1" s="1"/>
  <c r="L519" i="1"/>
  <c r="M518" i="1"/>
  <c r="N518" i="1" s="1"/>
  <c r="L518" i="1"/>
  <c r="M517" i="1"/>
  <c r="N517" i="1" s="1"/>
  <c r="L517" i="1"/>
  <c r="N516" i="1"/>
  <c r="M516" i="1"/>
  <c r="L516" i="1"/>
  <c r="N515" i="1"/>
  <c r="M515" i="1"/>
  <c r="L515" i="1"/>
  <c r="M514" i="1"/>
  <c r="L514" i="1"/>
  <c r="N514" i="1" s="1"/>
  <c r="M513" i="1"/>
  <c r="N513" i="1" s="1"/>
  <c r="L513" i="1"/>
  <c r="M512" i="1"/>
  <c r="N512" i="1" s="1"/>
  <c r="L512" i="1"/>
  <c r="M511" i="1"/>
  <c r="N511" i="1" s="1"/>
  <c r="L511" i="1"/>
  <c r="M510" i="1"/>
  <c r="N510" i="1" s="1"/>
  <c r="L510" i="1"/>
  <c r="M509" i="1"/>
  <c r="N509" i="1" s="1"/>
  <c r="L509" i="1"/>
  <c r="N508" i="1"/>
  <c r="M508" i="1"/>
  <c r="L508" i="1"/>
  <c r="N507" i="1"/>
  <c r="M507" i="1"/>
  <c r="L507" i="1"/>
  <c r="M506" i="1"/>
  <c r="L506" i="1"/>
  <c r="N506" i="1" s="1"/>
  <c r="M505" i="1"/>
  <c r="L505" i="1"/>
  <c r="M504" i="1"/>
  <c r="N504" i="1" s="1"/>
  <c r="L504" i="1"/>
  <c r="M503" i="1"/>
  <c r="N503" i="1" s="1"/>
  <c r="L503" i="1"/>
  <c r="M502" i="1"/>
  <c r="N502" i="1" s="1"/>
  <c r="L502" i="1"/>
  <c r="M501" i="1"/>
  <c r="N501" i="1" s="1"/>
  <c r="L501" i="1"/>
  <c r="N500" i="1"/>
  <c r="M500" i="1"/>
  <c r="L500" i="1"/>
  <c r="N499" i="1"/>
  <c r="M499" i="1"/>
  <c r="L499" i="1"/>
  <c r="M498" i="1"/>
  <c r="L498" i="1"/>
  <c r="N498" i="1" s="1"/>
  <c r="M497" i="1"/>
  <c r="N497" i="1" s="1"/>
  <c r="L497" i="1"/>
  <c r="M496" i="1"/>
  <c r="N496" i="1" s="1"/>
  <c r="L496" i="1"/>
  <c r="M495" i="1"/>
  <c r="N495" i="1" s="1"/>
  <c r="L495" i="1"/>
  <c r="M494" i="1"/>
  <c r="N494" i="1" s="1"/>
  <c r="L494" i="1"/>
  <c r="M493" i="1"/>
  <c r="N493" i="1" s="1"/>
  <c r="L493" i="1"/>
  <c r="N492" i="1"/>
  <c r="M492" i="1"/>
  <c r="L492" i="1"/>
  <c r="N491" i="1"/>
  <c r="M491" i="1"/>
  <c r="L491" i="1"/>
  <c r="M490" i="1"/>
  <c r="L490" i="1"/>
  <c r="N490" i="1" s="1"/>
  <c r="M489" i="1"/>
  <c r="L489" i="1"/>
  <c r="M488" i="1"/>
  <c r="N488" i="1" s="1"/>
  <c r="L488" i="1"/>
  <c r="M487" i="1"/>
  <c r="N487" i="1" s="1"/>
  <c r="L487" i="1"/>
  <c r="M486" i="1"/>
  <c r="N486" i="1" s="1"/>
  <c r="L486" i="1"/>
  <c r="M485" i="1"/>
  <c r="N485" i="1" s="1"/>
  <c r="L485" i="1"/>
  <c r="N484" i="1"/>
  <c r="M484" i="1"/>
  <c r="L484" i="1"/>
  <c r="N483" i="1"/>
  <c r="M483" i="1"/>
  <c r="L483" i="1"/>
  <c r="M482" i="1"/>
  <c r="L482" i="1"/>
  <c r="N482" i="1" s="1"/>
  <c r="M481" i="1"/>
  <c r="N481" i="1" s="1"/>
  <c r="L481" i="1"/>
  <c r="M480" i="1"/>
  <c r="N480" i="1" s="1"/>
  <c r="L480" i="1"/>
  <c r="M479" i="1"/>
  <c r="N479" i="1" s="1"/>
  <c r="L479" i="1"/>
  <c r="M478" i="1"/>
  <c r="N478" i="1" s="1"/>
  <c r="L478" i="1"/>
  <c r="M477" i="1"/>
  <c r="N477" i="1" s="1"/>
  <c r="L477" i="1"/>
  <c r="N476" i="1"/>
  <c r="M476" i="1"/>
  <c r="L476" i="1"/>
  <c r="N475" i="1"/>
  <c r="M475" i="1"/>
  <c r="L475" i="1"/>
  <c r="M474" i="1"/>
  <c r="L474" i="1"/>
  <c r="N474" i="1" s="1"/>
  <c r="M473" i="1"/>
  <c r="L473" i="1"/>
  <c r="M472" i="1"/>
  <c r="N472" i="1" s="1"/>
  <c r="L472" i="1"/>
  <c r="M471" i="1"/>
  <c r="N471" i="1" s="1"/>
  <c r="L471" i="1"/>
  <c r="M470" i="1"/>
  <c r="N470" i="1" s="1"/>
  <c r="L470" i="1"/>
  <c r="M469" i="1"/>
  <c r="N469" i="1" s="1"/>
  <c r="L469" i="1"/>
  <c r="N468" i="1"/>
  <c r="M468" i="1"/>
  <c r="L468" i="1"/>
  <c r="N467" i="1"/>
  <c r="M467" i="1"/>
  <c r="L467" i="1"/>
  <c r="M466" i="1"/>
  <c r="L466" i="1"/>
  <c r="N466" i="1" s="1"/>
  <c r="M465" i="1"/>
  <c r="N465" i="1" s="1"/>
  <c r="L465" i="1"/>
  <c r="M464" i="1"/>
  <c r="N464" i="1" s="1"/>
  <c r="L464" i="1"/>
  <c r="M463" i="1"/>
  <c r="N463" i="1" s="1"/>
  <c r="L463" i="1"/>
  <c r="M462" i="1"/>
  <c r="N462" i="1" s="1"/>
  <c r="L462" i="1"/>
  <c r="M461" i="1"/>
  <c r="N461" i="1" s="1"/>
  <c r="L461" i="1"/>
  <c r="N460" i="1"/>
  <c r="M460" i="1"/>
  <c r="L460" i="1"/>
  <c r="N459" i="1"/>
  <c r="M459" i="1"/>
  <c r="L459" i="1"/>
  <c r="M458" i="1"/>
  <c r="L458" i="1"/>
  <c r="N458" i="1" s="1"/>
  <c r="M457" i="1"/>
  <c r="L457" i="1"/>
  <c r="M456" i="1"/>
  <c r="N456" i="1" s="1"/>
  <c r="L456" i="1"/>
  <c r="M455" i="1"/>
  <c r="N455" i="1" s="1"/>
  <c r="L455" i="1"/>
  <c r="M454" i="1"/>
  <c r="N454" i="1" s="1"/>
  <c r="L454" i="1"/>
  <c r="M453" i="1"/>
  <c r="N453" i="1" s="1"/>
  <c r="L453" i="1"/>
  <c r="N452" i="1"/>
  <c r="M452" i="1"/>
  <c r="L452" i="1"/>
  <c r="N451" i="1"/>
  <c r="M451" i="1"/>
  <c r="L451" i="1"/>
  <c r="M450" i="1"/>
  <c r="L450" i="1"/>
  <c r="N450" i="1" s="1"/>
  <c r="M449" i="1"/>
  <c r="N449" i="1" s="1"/>
  <c r="L449" i="1"/>
  <c r="M448" i="1"/>
  <c r="N448" i="1" s="1"/>
  <c r="L448" i="1"/>
  <c r="M447" i="1"/>
  <c r="N447" i="1" s="1"/>
  <c r="L447" i="1"/>
  <c r="M446" i="1"/>
  <c r="N446" i="1" s="1"/>
  <c r="L446" i="1"/>
  <c r="M445" i="1"/>
  <c r="N445" i="1" s="1"/>
  <c r="L445" i="1"/>
  <c r="N444" i="1"/>
  <c r="M444" i="1"/>
  <c r="L444" i="1"/>
  <c r="N443" i="1"/>
  <c r="M443" i="1"/>
  <c r="L443" i="1"/>
  <c r="M442" i="1"/>
  <c r="L442" i="1"/>
  <c r="N442" i="1" s="1"/>
  <c r="M441" i="1"/>
  <c r="L441" i="1"/>
  <c r="M440" i="1"/>
  <c r="N440" i="1" s="1"/>
  <c r="L440" i="1"/>
  <c r="M439" i="1"/>
  <c r="N439" i="1" s="1"/>
  <c r="L439" i="1"/>
  <c r="M438" i="1"/>
  <c r="N438" i="1" s="1"/>
  <c r="L438" i="1"/>
  <c r="M437" i="1"/>
  <c r="N437" i="1" s="1"/>
  <c r="L437" i="1"/>
  <c r="N436" i="1"/>
  <c r="M436" i="1"/>
  <c r="L436" i="1"/>
  <c r="N435" i="1"/>
  <c r="M435" i="1"/>
  <c r="L435" i="1"/>
  <c r="M434" i="1"/>
  <c r="L434" i="1"/>
  <c r="N434" i="1" s="1"/>
  <c r="M433" i="1"/>
  <c r="N433" i="1" s="1"/>
  <c r="L433" i="1"/>
  <c r="M432" i="1"/>
  <c r="N432" i="1" s="1"/>
  <c r="L432" i="1"/>
  <c r="M431" i="1"/>
  <c r="N431" i="1" s="1"/>
  <c r="L431" i="1"/>
  <c r="M430" i="1"/>
  <c r="N430" i="1" s="1"/>
  <c r="L430" i="1"/>
  <c r="M429" i="1"/>
  <c r="N429" i="1" s="1"/>
  <c r="L429" i="1"/>
  <c r="N428" i="1"/>
  <c r="M428" i="1"/>
  <c r="L428" i="1"/>
  <c r="N427" i="1"/>
  <c r="M427" i="1"/>
  <c r="L427" i="1"/>
  <c r="M426" i="1"/>
  <c r="L426" i="1"/>
  <c r="N426" i="1" s="1"/>
  <c r="M425" i="1"/>
  <c r="L425" i="1"/>
  <c r="M424" i="1"/>
  <c r="N424" i="1" s="1"/>
  <c r="L424" i="1"/>
  <c r="M423" i="1"/>
  <c r="N423" i="1" s="1"/>
  <c r="L423" i="1"/>
  <c r="M422" i="1"/>
  <c r="N422" i="1" s="1"/>
  <c r="L422" i="1"/>
  <c r="M421" i="1"/>
  <c r="N421" i="1" s="1"/>
  <c r="L421" i="1"/>
  <c r="N420" i="1"/>
  <c r="M420" i="1"/>
  <c r="L420" i="1"/>
  <c r="N419" i="1"/>
  <c r="M419" i="1"/>
  <c r="L419" i="1"/>
  <c r="M418" i="1"/>
  <c r="L418" i="1"/>
  <c r="N418" i="1" s="1"/>
  <c r="M417" i="1"/>
  <c r="N417" i="1" s="1"/>
  <c r="L417" i="1"/>
  <c r="M416" i="1"/>
  <c r="N416" i="1" s="1"/>
  <c r="L416" i="1"/>
  <c r="M415" i="1"/>
  <c r="N415" i="1" s="1"/>
  <c r="L415" i="1"/>
  <c r="M414" i="1"/>
  <c r="N414" i="1" s="1"/>
  <c r="L414" i="1"/>
  <c r="M413" i="1"/>
  <c r="N413" i="1" s="1"/>
  <c r="L413" i="1"/>
  <c r="N412" i="1"/>
  <c r="M412" i="1"/>
  <c r="L412" i="1"/>
  <c r="N411" i="1"/>
  <c r="M411" i="1"/>
  <c r="L411" i="1"/>
  <c r="M410" i="1"/>
  <c r="L410" i="1"/>
  <c r="N410" i="1" s="1"/>
  <c r="M409" i="1"/>
  <c r="L409" i="1"/>
  <c r="M408" i="1"/>
  <c r="N408" i="1" s="1"/>
  <c r="L408" i="1"/>
  <c r="M407" i="1"/>
  <c r="N407" i="1" s="1"/>
  <c r="L407" i="1"/>
  <c r="M406" i="1"/>
  <c r="N406" i="1" s="1"/>
  <c r="L406" i="1"/>
  <c r="M405" i="1"/>
  <c r="N405" i="1" s="1"/>
  <c r="L405" i="1"/>
  <c r="N404" i="1"/>
  <c r="M404" i="1"/>
  <c r="L404" i="1"/>
  <c r="N403" i="1"/>
  <c r="M403" i="1"/>
  <c r="L403" i="1"/>
  <c r="M402" i="1"/>
  <c r="L402" i="1"/>
  <c r="N402" i="1" s="1"/>
  <c r="M401" i="1"/>
  <c r="N401" i="1" s="1"/>
  <c r="L401" i="1"/>
  <c r="M400" i="1"/>
  <c r="N400" i="1" s="1"/>
  <c r="L400" i="1"/>
  <c r="M399" i="1"/>
  <c r="N399" i="1" s="1"/>
  <c r="L399" i="1"/>
  <c r="M398" i="1"/>
  <c r="N398" i="1" s="1"/>
  <c r="L398" i="1"/>
  <c r="M397" i="1"/>
  <c r="N397" i="1" s="1"/>
  <c r="L397" i="1"/>
  <c r="N396" i="1"/>
  <c r="M396" i="1"/>
  <c r="L396" i="1"/>
  <c r="N395" i="1"/>
  <c r="M395" i="1"/>
  <c r="L395" i="1"/>
  <c r="M394" i="1"/>
  <c r="L394" i="1"/>
  <c r="N394" i="1" s="1"/>
  <c r="M393" i="1"/>
  <c r="L393" i="1"/>
  <c r="M392" i="1"/>
  <c r="N392" i="1" s="1"/>
  <c r="L392" i="1"/>
  <c r="M391" i="1"/>
  <c r="N391" i="1" s="1"/>
  <c r="L391" i="1"/>
  <c r="M390" i="1"/>
  <c r="N390" i="1" s="1"/>
  <c r="L390" i="1"/>
  <c r="M389" i="1"/>
  <c r="N389" i="1" s="1"/>
  <c r="L389" i="1"/>
  <c r="N388" i="1"/>
  <c r="M388" i="1"/>
  <c r="L388" i="1"/>
  <c r="N387" i="1"/>
  <c r="M387" i="1"/>
  <c r="L387" i="1"/>
  <c r="M386" i="1"/>
  <c r="L386" i="1"/>
  <c r="N386" i="1" s="1"/>
  <c r="M385" i="1"/>
  <c r="N385" i="1" s="1"/>
  <c r="L385" i="1"/>
  <c r="M384" i="1"/>
  <c r="N384" i="1" s="1"/>
  <c r="L384" i="1"/>
  <c r="M383" i="1"/>
  <c r="N383" i="1" s="1"/>
  <c r="L383" i="1"/>
  <c r="M382" i="1"/>
  <c r="N382" i="1" s="1"/>
  <c r="L382" i="1"/>
  <c r="M381" i="1"/>
  <c r="N381" i="1" s="1"/>
  <c r="L381" i="1"/>
  <c r="N380" i="1"/>
  <c r="M380" i="1"/>
  <c r="L380" i="1"/>
  <c r="N379" i="1"/>
  <c r="M379" i="1"/>
  <c r="L379" i="1"/>
  <c r="M378" i="1"/>
  <c r="L378" i="1"/>
  <c r="N378" i="1" s="1"/>
  <c r="M377" i="1"/>
  <c r="L377" i="1"/>
  <c r="M376" i="1"/>
  <c r="N376" i="1" s="1"/>
  <c r="L376" i="1"/>
  <c r="M375" i="1"/>
  <c r="N375" i="1" s="1"/>
  <c r="L375" i="1"/>
  <c r="M374" i="1"/>
  <c r="N374" i="1" s="1"/>
  <c r="L374" i="1"/>
  <c r="M373" i="1"/>
  <c r="N373" i="1" s="1"/>
  <c r="L373" i="1"/>
  <c r="N372" i="1"/>
  <c r="M372" i="1"/>
  <c r="L372" i="1"/>
  <c r="N371" i="1"/>
  <c r="M371" i="1"/>
  <c r="L371" i="1"/>
  <c r="M370" i="1"/>
  <c r="L370" i="1"/>
  <c r="N370" i="1" s="1"/>
  <c r="M369" i="1"/>
  <c r="N369" i="1" s="1"/>
  <c r="L369" i="1"/>
  <c r="M368" i="1"/>
  <c r="N368" i="1" s="1"/>
  <c r="L368" i="1"/>
  <c r="M367" i="1"/>
  <c r="N367" i="1" s="1"/>
  <c r="L367" i="1"/>
  <c r="M366" i="1"/>
  <c r="N366" i="1" s="1"/>
  <c r="L366" i="1"/>
  <c r="M365" i="1"/>
  <c r="N365" i="1" s="1"/>
  <c r="L365" i="1"/>
  <c r="N364" i="1"/>
  <c r="M364" i="1"/>
  <c r="L364" i="1"/>
  <c r="N363" i="1"/>
  <c r="M363" i="1"/>
  <c r="L363" i="1"/>
  <c r="M362" i="1"/>
  <c r="L362" i="1"/>
  <c r="N362" i="1" s="1"/>
  <c r="M361" i="1"/>
  <c r="L361" i="1"/>
  <c r="M360" i="1"/>
  <c r="N360" i="1" s="1"/>
  <c r="L360" i="1"/>
  <c r="M359" i="1"/>
  <c r="N359" i="1" s="1"/>
  <c r="L359" i="1"/>
  <c r="M358" i="1"/>
  <c r="N358" i="1" s="1"/>
  <c r="L358" i="1"/>
  <c r="M357" i="1"/>
  <c r="N357" i="1" s="1"/>
  <c r="L357" i="1"/>
  <c r="N356" i="1"/>
  <c r="M356" i="1"/>
  <c r="L356" i="1"/>
  <c r="N355" i="1"/>
  <c r="M355" i="1"/>
  <c r="L355" i="1"/>
  <c r="M354" i="1"/>
  <c r="L354" i="1"/>
  <c r="N354" i="1" s="1"/>
  <c r="M353" i="1"/>
  <c r="N353" i="1" s="1"/>
  <c r="L353" i="1"/>
  <c r="M352" i="1"/>
  <c r="N352" i="1" s="1"/>
  <c r="L352" i="1"/>
  <c r="M351" i="1"/>
  <c r="N351" i="1" s="1"/>
  <c r="L351" i="1"/>
  <c r="M350" i="1"/>
  <c r="N350" i="1" s="1"/>
  <c r="L350" i="1"/>
  <c r="M349" i="1"/>
  <c r="N349" i="1" s="1"/>
  <c r="L349" i="1"/>
  <c r="N348" i="1"/>
  <c r="M348" i="1"/>
  <c r="L348" i="1"/>
  <c r="N347" i="1"/>
  <c r="M347" i="1"/>
  <c r="L347" i="1"/>
  <c r="M346" i="1"/>
  <c r="L346" i="1"/>
  <c r="N346" i="1" s="1"/>
  <c r="M345" i="1"/>
  <c r="L345" i="1"/>
  <c r="M344" i="1"/>
  <c r="N344" i="1" s="1"/>
  <c r="L344" i="1"/>
  <c r="M343" i="1"/>
  <c r="N343" i="1" s="1"/>
  <c r="L343" i="1"/>
  <c r="M342" i="1"/>
  <c r="N342" i="1" s="1"/>
  <c r="L342" i="1"/>
  <c r="M341" i="1"/>
  <c r="N341" i="1" s="1"/>
  <c r="L341" i="1"/>
  <c r="N340" i="1"/>
  <c r="M340" i="1"/>
  <c r="L340" i="1"/>
  <c r="N339" i="1"/>
  <c r="M339" i="1"/>
  <c r="L339" i="1"/>
  <c r="M338" i="1"/>
  <c r="L338" i="1"/>
  <c r="N338" i="1" s="1"/>
  <c r="M337" i="1"/>
  <c r="N337" i="1" s="1"/>
  <c r="L337" i="1"/>
  <c r="M336" i="1"/>
  <c r="N336" i="1" s="1"/>
  <c r="L336" i="1"/>
  <c r="M335" i="1"/>
  <c r="N335" i="1" s="1"/>
  <c r="L335" i="1"/>
  <c r="M334" i="1"/>
  <c r="N334" i="1" s="1"/>
  <c r="L334" i="1"/>
  <c r="M333" i="1"/>
  <c r="N333" i="1" s="1"/>
  <c r="L333" i="1"/>
  <c r="N332" i="1"/>
  <c r="M332" i="1"/>
  <c r="L332" i="1"/>
  <c r="N331" i="1"/>
  <c r="M331" i="1"/>
  <c r="L331" i="1"/>
  <c r="M330" i="1"/>
  <c r="L330" i="1"/>
  <c r="N330" i="1" s="1"/>
  <c r="M329" i="1"/>
  <c r="L329" i="1"/>
  <c r="M328" i="1"/>
  <c r="N328" i="1" s="1"/>
  <c r="L328" i="1"/>
  <c r="M327" i="1"/>
  <c r="N327" i="1" s="1"/>
  <c r="L327" i="1"/>
  <c r="M326" i="1"/>
  <c r="N326" i="1" s="1"/>
  <c r="L326" i="1"/>
  <c r="M325" i="1"/>
  <c r="N325" i="1" s="1"/>
  <c r="L325" i="1"/>
  <c r="N324" i="1"/>
  <c r="M324" i="1"/>
  <c r="L324" i="1"/>
  <c r="N323" i="1"/>
  <c r="M323" i="1"/>
  <c r="L323" i="1"/>
  <c r="M322" i="1"/>
  <c r="L322" i="1"/>
  <c r="N322" i="1" s="1"/>
  <c r="M321" i="1"/>
  <c r="N321" i="1" s="1"/>
  <c r="L321" i="1"/>
  <c r="M320" i="1"/>
  <c r="N320" i="1" s="1"/>
  <c r="L320" i="1"/>
  <c r="M319" i="1"/>
  <c r="N319" i="1" s="1"/>
  <c r="L319" i="1"/>
  <c r="M318" i="1"/>
  <c r="N318" i="1" s="1"/>
  <c r="L318" i="1"/>
  <c r="M317" i="1"/>
  <c r="N317" i="1" s="1"/>
  <c r="L317" i="1"/>
  <c r="N316" i="1"/>
  <c r="M316" i="1"/>
  <c r="L316" i="1"/>
  <c r="N315" i="1"/>
  <c r="M315" i="1"/>
  <c r="L315" i="1"/>
  <c r="M314" i="1"/>
  <c r="L314" i="1"/>
  <c r="N314" i="1" s="1"/>
  <c r="M313" i="1"/>
  <c r="L313" i="1"/>
  <c r="M312" i="1"/>
  <c r="N312" i="1" s="1"/>
  <c r="L312" i="1"/>
  <c r="M311" i="1"/>
  <c r="N311" i="1" s="1"/>
  <c r="L311" i="1"/>
  <c r="M310" i="1"/>
  <c r="N310" i="1" s="1"/>
  <c r="L310" i="1"/>
  <c r="M309" i="1"/>
  <c r="N309" i="1" s="1"/>
  <c r="L309" i="1"/>
  <c r="N308" i="1"/>
  <c r="M308" i="1"/>
  <c r="L308" i="1"/>
  <c r="N307" i="1"/>
  <c r="M307" i="1"/>
  <c r="L307" i="1"/>
  <c r="M306" i="1"/>
  <c r="L306" i="1"/>
  <c r="N306" i="1" s="1"/>
  <c r="M305" i="1"/>
  <c r="N305" i="1" s="1"/>
  <c r="L305" i="1"/>
  <c r="M304" i="1"/>
  <c r="N304" i="1" s="1"/>
  <c r="L304" i="1"/>
  <c r="M303" i="1"/>
  <c r="N303" i="1" s="1"/>
  <c r="L303" i="1"/>
  <c r="M302" i="1"/>
  <c r="N302" i="1" s="1"/>
  <c r="L302" i="1"/>
  <c r="M301" i="1"/>
  <c r="N301" i="1" s="1"/>
  <c r="L301" i="1"/>
  <c r="N300" i="1"/>
  <c r="M300" i="1"/>
  <c r="L300" i="1"/>
  <c r="N299" i="1"/>
  <c r="M299" i="1"/>
  <c r="L299" i="1"/>
  <c r="M298" i="1"/>
  <c r="L298" i="1"/>
  <c r="N298" i="1" s="1"/>
  <c r="M297" i="1"/>
  <c r="L297" i="1"/>
  <c r="M296" i="1"/>
  <c r="N296" i="1" s="1"/>
  <c r="L296" i="1"/>
  <c r="M295" i="1"/>
  <c r="N295" i="1" s="1"/>
  <c r="L295" i="1"/>
  <c r="M294" i="1"/>
  <c r="N294" i="1" s="1"/>
  <c r="L294" i="1"/>
  <c r="M293" i="1"/>
  <c r="N293" i="1" s="1"/>
  <c r="L293" i="1"/>
  <c r="N292" i="1"/>
  <c r="M292" i="1"/>
  <c r="L292" i="1"/>
  <c r="N291" i="1"/>
  <c r="M291" i="1"/>
  <c r="L291" i="1"/>
  <c r="M290" i="1"/>
  <c r="L290" i="1"/>
  <c r="N290" i="1" s="1"/>
  <c r="M289" i="1"/>
  <c r="N289" i="1" s="1"/>
  <c r="L289" i="1"/>
  <c r="M288" i="1"/>
  <c r="N288" i="1" s="1"/>
  <c r="L288" i="1"/>
  <c r="M287" i="1"/>
  <c r="N287" i="1" s="1"/>
  <c r="L287" i="1"/>
  <c r="M286" i="1"/>
  <c r="N286" i="1" s="1"/>
  <c r="L286" i="1"/>
  <c r="M285" i="1"/>
  <c r="N285" i="1" s="1"/>
  <c r="L285" i="1"/>
  <c r="N284" i="1"/>
  <c r="M284" i="1"/>
  <c r="L284" i="1"/>
  <c r="N283" i="1"/>
  <c r="M283" i="1"/>
  <c r="L283" i="1"/>
  <c r="M282" i="1"/>
  <c r="L282" i="1"/>
  <c r="N282" i="1" s="1"/>
  <c r="M281" i="1"/>
  <c r="L281" i="1"/>
  <c r="M280" i="1"/>
  <c r="N280" i="1" s="1"/>
  <c r="L280" i="1"/>
  <c r="M279" i="1"/>
  <c r="N279" i="1" s="1"/>
  <c r="L279" i="1"/>
  <c r="M278" i="1"/>
  <c r="N278" i="1" s="1"/>
  <c r="L278" i="1"/>
  <c r="M277" i="1"/>
  <c r="N277" i="1" s="1"/>
  <c r="L277" i="1"/>
  <c r="N276" i="1"/>
  <c r="M276" i="1"/>
  <c r="L276" i="1"/>
  <c r="N275" i="1"/>
  <c r="M275" i="1"/>
  <c r="L275" i="1"/>
  <c r="M274" i="1"/>
  <c r="L274" i="1"/>
  <c r="N274" i="1" s="1"/>
  <c r="M273" i="1"/>
  <c r="N273" i="1" s="1"/>
  <c r="L273" i="1"/>
  <c r="M272" i="1"/>
  <c r="N272" i="1" s="1"/>
  <c r="L272" i="1"/>
  <c r="M271" i="1"/>
  <c r="N271" i="1" s="1"/>
  <c r="L271" i="1"/>
  <c r="M270" i="1"/>
  <c r="N270" i="1" s="1"/>
  <c r="L270" i="1"/>
  <c r="M269" i="1"/>
  <c r="N269" i="1" s="1"/>
  <c r="L269" i="1"/>
  <c r="N268" i="1"/>
  <c r="M268" i="1"/>
  <c r="L268" i="1"/>
  <c r="N267" i="1"/>
  <c r="M267" i="1"/>
  <c r="L267" i="1"/>
  <c r="M266" i="1"/>
  <c r="L266" i="1"/>
  <c r="N266" i="1" s="1"/>
  <c r="M265" i="1"/>
  <c r="N265" i="1" s="1"/>
  <c r="L265" i="1"/>
  <c r="M264" i="1"/>
  <c r="N264" i="1" s="1"/>
  <c r="L264" i="1"/>
  <c r="M263" i="1"/>
  <c r="N263" i="1" s="1"/>
  <c r="L263" i="1"/>
  <c r="M262" i="1"/>
  <c r="N262" i="1" s="1"/>
  <c r="L262" i="1"/>
  <c r="M261" i="1"/>
  <c r="N261" i="1" s="1"/>
  <c r="L261" i="1"/>
  <c r="N260" i="1"/>
  <c r="M260" i="1"/>
  <c r="L260" i="1"/>
  <c r="N259" i="1"/>
  <c r="M259" i="1"/>
  <c r="L259" i="1"/>
  <c r="M258" i="1"/>
  <c r="L258" i="1"/>
  <c r="N258" i="1" s="1"/>
  <c r="M257" i="1"/>
  <c r="N257" i="1" s="1"/>
  <c r="L257" i="1"/>
  <c r="M256" i="1"/>
  <c r="N256" i="1" s="1"/>
  <c r="L256" i="1"/>
  <c r="M255" i="1"/>
  <c r="N255" i="1" s="1"/>
  <c r="L255" i="1"/>
  <c r="M254" i="1"/>
  <c r="N254" i="1" s="1"/>
  <c r="L254" i="1"/>
  <c r="M253" i="1"/>
  <c r="N253" i="1" s="1"/>
  <c r="L253" i="1"/>
  <c r="N252" i="1"/>
  <c r="M252" i="1"/>
  <c r="L252" i="1"/>
  <c r="N251" i="1"/>
  <c r="M251" i="1"/>
  <c r="L251" i="1"/>
  <c r="M250" i="1"/>
  <c r="L250" i="1"/>
  <c r="N250" i="1" s="1"/>
  <c r="M249" i="1"/>
  <c r="L249" i="1"/>
  <c r="M248" i="1"/>
  <c r="N248" i="1" s="1"/>
  <c r="L248" i="1"/>
  <c r="M247" i="1"/>
  <c r="N247" i="1" s="1"/>
  <c r="L247" i="1"/>
  <c r="M246" i="1"/>
  <c r="N246" i="1" s="1"/>
  <c r="L246" i="1"/>
  <c r="M245" i="1"/>
  <c r="N245" i="1" s="1"/>
  <c r="L245" i="1"/>
  <c r="N244" i="1"/>
  <c r="M244" i="1"/>
  <c r="L244" i="1"/>
  <c r="N243" i="1"/>
  <c r="M243" i="1"/>
  <c r="L243" i="1"/>
  <c r="M242" i="1"/>
  <c r="L242" i="1"/>
  <c r="N242" i="1" s="1"/>
  <c r="M241" i="1"/>
  <c r="N241" i="1" s="1"/>
  <c r="L241" i="1"/>
  <c r="M240" i="1"/>
  <c r="N240" i="1" s="1"/>
  <c r="L240" i="1"/>
  <c r="M239" i="1"/>
  <c r="N239" i="1" s="1"/>
  <c r="L239" i="1"/>
  <c r="M238" i="1"/>
  <c r="N238" i="1" s="1"/>
  <c r="L238" i="1"/>
  <c r="M237" i="1"/>
  <c r="N237" i="1" s="1"/>
  <c r="L237" i="1"/>
  <c r="N236" i="1"/>
  <c r="M236" i="1"/>
  <c r="L236" i="1"/>
  <c r="N235" i="1"/>
  <c r="M235" i="1"/>
  <c r="L235" i="1"/>
  <c r="M234" i="1"/>
  <c r="L234" i="1"/>
  <c r="N234" i="1" s="1"/>
  <c r="M233" i="1"/>
  <c r="N233" i="1" s="1"/>
  <c r="L233" i="1"/>
  <c r="M232" i="1"/>
  <c r="N232" i="1" s="1"/>
  <c r="L232" i="1"/>
  <c r="M231" i="1"/>
  <c r="N231" i="1" s="1"/>
  <c r="L231" i="1"/>
  <c r="M230" i="1"/>
  <c r="N230" i="1" s="1"/>
  <c r="L230" i="1"/>
  <c r="M229" i="1"/>
  <c r="N229" i="1" s="1"/>
  <c r="L229" i="1"/>
  <c r="N228" i="1"/>
  <c r="M228" i="1"/>
  <c r="L228" i="1"/>
  <c r="N227" i="1"/>
  <c r="M227" i="1"/>
  <c r="L227" i="1"/>
  <c r="M226" i="1"/>
  <c r="L226" i="1"/>
  <c r="N226" i="1" s="1"/>
  <c r="M225" i="1"/>
  <c r="N225" i="1" s="1"/>
  <c r="L225" i="1"/>
  <c r="M224" i="1"/>
  <c r="N224" i="1" s="1"/>
  <c r="L224" i="1"/>
  <c r="M223" i="1"/>
  <c r="N223" i="1" s="1"/>
  <c r="L223" i="1"/>
  <c r="M222" i="1"/>
  <c r="N222" i="1" s="1"/>
  <c r="L222" i="1"/>
  <c r="M221" i="1"/>
  <c r="N221" i="1" s="1"/>
  <c r="L221" i="1"/>
  <c r="N220" i="1"/>
  <c r="M220" i="1"/>
  <c r="L220" i="1"/>
  <c r="N219" i="1"/>
  <c r="M219" i="1"/>
  <c r="L219" i="1"/>
  <c r="M218" i="1"/>
  <c r="L218" i="1"/>
  <c r="N218" i="1" s="1"/>
  <c r="M217" i="1"/>
  <c r="L217" i="1"/>
  <c r="M216" i="1"/>
  <c r="N216" i="1" s="1"/>
  <c r="L216" i="1"/>
  <c r="M215" i="1"/>
  <c r="N215" i="1" s="1"/>
  <c r="L215" i="1"/>
  <c r="M214" i="1"/>
  <c r="N214" i="1" s="1"/>
  <c r="L214" i="1"/>
  <c r="M213" i="1"/>
  <c r="N213" i="1" s="1"/>
  <c r="L213" i="1"/>
  <c r="N212" i="1"/>
  <c r="M212" i="1"/>
  <c r="L212" i="1"/>
  <c r="N211" i="1"/>
  <c r="M211" i="1"/>
  <c r="L211" i="1"/>
  <c r="M210" i="1"/>
  <c r="L210" i="1"/>
  <c r="M209" i="1"/>
  <c r="N209" i="1" s="1"/>
  <c r="L209" i="1"/>
  <c r="M208" i="1"/>
  <c r="N208" i="1" s="1"/>
  <c r="L208" i="1"/>
  <c r="M207" i="1"/>
  <c r="N207" i="1" s="1"/>
  <c r="L207" i="1"/>
  <c r="M206" i="1"/>
  <c r="N206" i="1" s="1"/>
  <c r="L206" i="1"/>
  <c r="M205" i="1"/>
  <c r="N205" i="1" s="1"/>
  <c r="L205" i="1"/>
  <c r="N204" i="1"/>
  <c r="M204" i="1"/>
  <c r="L204" i="1"/>
  <c r="N203" i="1"/>
  <c r="M203" i="1"/>
  <c r="L203" i="1"/>
  <c r="M202" i="1"/>
  <c r="N202" i="1" s="1"/>
  <c r="L202" i="1"/>
  <c r="M201" i="1"/>
  <c r="N201" i="1" s="1"/>
  <c r="L201" i="1"/>
  <c r="M200" i="1"/>
  <c r="N200" i="1" s="1"/>
  <c r="L200" i="1"/>
  <c r="M199" i="1"/>
  <c r="N199" i="1" s="1"/>
  <c r="L199" i="1"/>
  <c r="M198" i="1"/>
  <c r="N198" i="1" s="1"/>
  <c r="L198" i="1"/>
  <c r="M197" i="1"/>
  <c r="L197" i="1"/>
  <c r="N196" i="1"/>
  <c r="M196" i="1"/>
  <c r="L196" i="1"/>
  <c r="N195" i="1"/>
  <c r="M195" i="1"/>
  <c r="L195" i="1"/>
  <c r="M194" i="1"/>
  <c r="L194" i="1"/>
  <c r="M193" i="1"/>
  <c r="L193" i="1"/>
  <c r="M192" i="1"/>
  <c r="N192" i="1" s="1"/>
  <c r="L192" i="1"/>
  <c r="M191" i="1"/>
  <c r="N191" i="1" s="1"/>
  <c r="L191" i="1"/>
  <c r="M190" i="1"/>
  <c r="N190" i="1" s="1"/>
  <c r="L190" i="1"/>
  <c r="M189" i="1"/>
  <c r="L189" i="1"/>
  <c r="N188" i="1"/>
  <c r="M188" i="1"/>
  <c r="L188" i="1"/>
  <c r="N187" i="1"/>
  <c r="M187" i="1"/>
  <c r="L187" i="1"/>
  <c r="M186" i="1"/>
  <c r="L186" i="1"/>
  <c r="M185" i="1"/>
  <c r="N185" i="1" s="1"/>
  <c r="L185" i="1"/>
  <c r="M184" i="1"/>
  <c r="N184" i="1" s="1"/>
  <c r="L184" i="1"/>
  <c r="N183" i="1"/>
  <c r="M183" i="1"/>
  <c r="L183" i="1"/>
  <c r="M182" i="1"/>
  <c r="N182" i="1" s="1"/>
  <c r="L182" i="1"/>
  <c r="M181" i="1"/>
  <c r="L181" i="1"/>
  <c r="N180" i="1"/>
  <c r="M180" i="1"/>
  <c r="L180" i="1"/>
  <c r="N179" i="1"/>
  <c r="M179" i="1"/>
  <c r="L179" i="1"/>
  <c r="M178" i="1"/>
  <c r="L178" i="1"/>
  <c r="M177" i="1"/>
  <c r="L177" i="1"/>
  <c r="M176" i="1"/>
  <c r="N176" i="1" s="1"/>
  <c r="L176" i="1"/>
  <c r="N175" i="1"/>
  <c r="M175" i="1"/>
  <c r="L175" i="1"/>
  <c r="M174" i="1"/>
  <c r="N174" i="1" s="1"/>
  <c r="L174" i="1"/>
  <c r="M173" i="1"/>
  <c r="N173" i="1" s="1"/>
  <c r="L173" i="1"/>
  <c r="N172" i="1"/>
  <c r="M172" i="1"/>
  <c r="L172" i="1"/>
  <c r="N171" i="1"/>
  <c r="M171" i="1"/>
  <c r="L171" i="1"/>
  <c r="M170" i="1"/>
  <c r="N170" i="1" s="1"/>
  <c r="L170" i="1"/>
  <c r="M169" i="1"/>
  <c r="L169" i="1"/>
  <c r="M168" i="1"/>
  <c r="N168" i="1" s="1"/>
  <c r="L168" i="1"/>
  <c r="N167" i="1"/>
  <c r="M167" i="1"/>
  <c r="L167" i="1"/>
  <c r="M166" i="1"/>
  <c r="N166" i="1" s="1"/>
  <c r="L166" i="1"/>
  <c r="M165" i="1"/>
  <c r="N165" i="1" s="1"/>
  <c r="L165" i="1"/>
  <c r="N164" i="1"/>
  <c r="M164" i="1"/>
  <c r="L164" i="1"/>
  <c r="N163" i="1"/>
  <c r="M163" i="1"/>
  <c r="L163" i="1"/>
  <c r="M162" i="1"/>
  <c r="N162" i="1" s="1"/>
  <c r="L162" i="1"/>
  <c r="M161" i="1"/>
  <c r="L161" i="1"/>
  <c r="M160" i="1"/>
  <c r="N160" i="1" s="1"/>
  <c r="L160" i="1"/>
  <c r="M159" i="1"/>
  <c r="N159" i="1" s="1"/>
  <c r="L159" i="1"/>
  <c r="M158" i="1"/>
  <c r="N158" i="1" s="1"/>
  <c r="L158" i="1"/>
  <c r="M157" i="1"/>
  <c r="N157" i="1" s="1"/>
  <c r="L157" i="1"/>
  <c r="N156" i="1"/>
  <c r="M156" i="1"/>
  <c r="L156" i="1"/>
  <c r="N155" i="1"/>
  <c r="M155" i="1"/>
  <c r="L155" i="1"/>
  <c r="M154" i="1"/>
  <c r="N154" i="1" s="1"/>
  <c r="L154" i="1"/>
  <c r="M153" i="1"/>
  <c r="N153" i="1" s="1"/>
  <c r="L153" i="1"/>
  <c r="M152" i="1"/>
  <c r="N152" i="1" s="1"/>
  <c r="L152" i="1"/>
  <c r="N151" i="1"/>
  <c r="M151" i="1"/>
  <c r="L151" i="1"/>
  <c r="M150" i="1"/>
  <c r="N150" i="1" s="1"/>
  <c r="L150" i="1"/>
  <c r="M149" i="1"/>
  <c r="L149" i="1"/>
  <c r="N148" i="1"/>
  <c r="M148" i="1"/>
  <c r="L148" i="1"/>
  <c r="N147" i="1"/>
  <c r="M147" i="1"/>
  <c r="L147" i="1"/>
  <c r="M146" i="1"/>
  <c r="L146" i="1"/>
  <c r="M145" i="1"/>
  <c r="N145" i="1" s="1"/>
  <c r="L145" i="1"/>
  <c r="M144" i="1"/>
  <c r="N144" i="1" s="1"/>
  <c r="L144" i="1"/>
  <c r="M143" i="1"/>
  <c r="N143" i="1" s="1"/>
  <c r="L143" i="1"/>
  <c r="M142" i="1"/>
  <c r="N142" i="1" s="1"/>
  <c r="L142" i="1"/>
  <c r="M141" i="1"/>
  <c r="N141" i="1" s="1"/>
  <c r="L141" i="1"/>
  <c r="N140" i="1"/>
  <c r="M140" i="1"/>
  <c r="L140" i="1"/>
  <c r="N139" i="1"/>
  <c r="M139" i="1"/>
  <c r="L139" i="1"/>
  <c r="M138" i="1"/>
  <c r="N138" i="1" s="1"/>
  <c r="L138" i="1"/>
  <c r="M137" i="1"/>
  <c r="N137" i="1" s="1"/>
  <c r="L137" i="1"/>
  <c r="M136" i="1"/>
  <c r="N136" i="1" s="1"/>
  <c r="L136" i="1"/>
  <c r="M135" i="1"/>
  <c r="N135" i="1" s="1"/>
  <c r="L135" i="1"/>
  <c r="M134" i="1"/>
  <c r="N134" i="1" s="1"/>
  <c r="L134" i="1"/>
  <c r="M133" i="1"/>
  <c r="L133" i="1"/>
  <c r="N132" i="1"/>
  <c r="M132" i="1"/>
  <c r="L132" i="1"/>
  <c r="N131" i="1"/>
  <c r="M131" i="1"/>
  <c r="L131" i="1"/>
  <c r="M130" i="1"/>
  <c r="L130" i="1"/>
  <c r="M129" i="1"/>
  <c r="L129" i="1"/>
  <c r="M128" i="1"/>
  <c r="N128" i="1" s="1"/>
  <c r="L128" i="1"/>
  <c r="M127" i="1"/>
  <c r="N127" i="1" s="1"/>
  <c r="L127" i="1"/>
  <c r="M126" i="1"/>
  <c r="N126" i="1" s="1"/>
  <c r="L126" i="1"/>
  <c r="M125" i="1"/>
  <c r="L125" i="1"/>
  <c r="N124" i="1"/>
  <c r="M124" i="1"/>
  <c r="L124" i="1"/>
  <c r="N123" i="1"/>
  <c r="M123" i="1"/>
  <c r="L123" i="1"/>
  <c r="M122" i="1"/>
  <c r="L122" i="1"/>
  <c r="M121" i="1"/>
  <c r="N121" i="1" s="1"/>
  <c r="L121" i="1"/>
  <c r="M120" i="1"/>
  <c r="N120" i="1" s="1"/>
  <c r="L120" i="1"/>
  <c r="N119" i="1"/>
  <c r="M119" i="1"/>
  <c r="L119" i="1"/>
  <c r="M118" i="1"/>
  <c r="N118" i="1" s="1"/>
  <c r="L118" i="1"/>
  <c r="M117" i="1"/>
  <c r="L117" i="1"/>
  <c r="N116" i="1"/>
  <c r="M116" i="1"/>
  <c r="L116" i="1"/>
  <c r="N115" i="1"/>
  <c r="M115" i="1"/>
  <c r="L115" i="1"/>
  <c r="M114" i="1"/>
  <c r="L114" i="1"/>
  <c r="M113" i="1"/>
  <c r="L113" i="1"/>
  <c r="M112" i="1"/>
  <c r="N112" i="1" s="1"/>
  <c r="L112" i="1"/>
  <c r="M111" i="1"/>
  <c r="N111" i="1" s="1"/>
  <c r="L111" i="1"/>
  <c r="M110" i="1"/>
  <c r="N110" i="1" s="1"/>
  <c r="L110" i="1"/>
  <c r="M109" i="1"/>
  <c r="N109" i="1" s="1"/>
  <c r="L109" i="1"/>
  <c r="N108" i="1"/>
  <c r="M108" i="1"/>
  <c r="L108" i="1"/>
  <c r="N107" i="1"/>
  <c r="M107" i="1"/>
  <c r="L107" i="1"/>
  <c r="M106" i="1"/>
  <c r="N106" i="1" s="1"/>
  <c r="L106" i="1"/>
  <c r="M105" i="1"/>
  <c r="L105" i="1"/>
  <c r="M104" i="1"/>
  <c r="N104" i="1" s="1"/>
  <c r="L104" i="1"/>
  <c r="N103" i="1"/>
  <c r="M103" i="1"/>
  <c r="L103" i="1"/>
  <c r="M102" i="1"/>
  <c r="N102" i="1" s="1"/>
  <c r="L102" i="1"/>
  <c r="M101" i="1"/>
  <c r="L101" i="1"/>
  <c r="N100" i="1"/>
  <c r="M100" i="1"/>
  <c r="L100" i="1"/>
  <c r="N99" i="1"/>
  <c r="M99" i="1"/>
  <c r="L99" i="1"/>
  <c r="M98" i="1"/>
  <c r="L98" i="1"/>
  <c r="M97" i="1"/>
  <c r="L97" i="1"/>
  <c r="M96" i="1"/>
  <c r="N96" i="1" s="1"/>
  <c r="L96" i="1"/>
  <c r="M95" i="1"/>
  <c r="N95" i="1" s="1"/>
  <c r="L95" i="1"/>
  <c r="M94" i="1"/>
  <c r="N94" i="1" s="1"/>
  <c r="L94" i="1"/>
  <c r="M93" i="1"/>
  <c r="N93" i="1" s="1"/>
  <c r="L93" i="1"/>
  <c r="N92" i="1"/>
  <c r="M92" i="1"/>
  <c r="L92" i="1"/>
  <c r="N91" i="1"/>
  <c r="M91" i="1"/>
  <c r="L91" i="1"/>
  <c r="M90" i="1"/>
  <c r="N90" i="1" s="1"/>
  <c r="L90" i="1"/>
  <c r="M89" i="1"/>
  <c r="N89" i="1" s="1"/>
  <c r="L89" i="1"/>
  <c r="M88" i="1"/>
  <c r="N88" i="1" s="1"/>
  <c r="L88" i="1"/>
  <c r="N87" i="1"/>
  <c r="M87" i="1"/>
  <c r="L87" i="1"/>
  <c r="M86" i="1"/>
  <c r="N86" i="1" s="1"/>
  <c r="L86" i="1"/>
  <c r="M85" i="1"/>
  <c r="L85" i="1"/>
  <c r="N84" i="1"/>
  <c r="M84" i="1"/>
  <c r="L84" i="1"/>
  <c r="N83" i="1"/>
  <c r="M83" i="1"/>
  <c r="L83" i="1"/>
  <c r="M82" i="1"/>
  <c r="L82" i="1"/>
  <c r="M81" i="1"/>
  <c r="L81" i="1"/>
  <c r="M80" i="1"/>
  <c r="N80" i="1" s="1"/>
  <c r="L80" i="1"/>
  <c r="M79" i="1"/>
  <c r="N79" i="1" s="1"/>
  <c r="L79" i="1"/>
  <c r="M78" i="1"/>
  <c r="N78" i="1" s="1"/>
  <c r="L78" i="1"/>
  <c r="M77" i="1"/>
  <c r="N77" i="1" s="1"/>
  <c r="L77" i="1"/>
  <c r="N76" i="1"/>
  <c r="M76" i="1"/>
  <c r="L76" i="1"/>
  <c r="N75" i="1"/>
  <c r="M75" i="1"/>
  <c r="L75" i="1"/>
  <c r="M74" i="1"/>
  <c r="N74" i="1" s="1"/>
  <c r="L74" i="1"/>
  <c r="M73" i="1"/>
  <c r="L73" i="1"/>
  <c r="M72" i="1"/>
  <c r="N72" i="1" s="1"/>
  <c r="L72" i="1"/>
  <c r="M71" i="1"/>
  <c r="N71" i="1" s="1"/>
  <c r="L71" i="1"/>
  <c r="M70" i="1"/>
  <c r="N70" i="1" s="1"/>
  <c r="L70" i="1"/>
  <c r="M69" i="1"/>
  <c r="L69" i="1"/>
  <c r="N68" i="1"/>
  <c r="M68" i="1"/>
  <c r="L68" i="1"/>
  <c r="N67" i="1"/>
  <c r="M67" i="1"/>
  <c r="L67" i="1"/>
  <c r="M66" i="1"/>
  <c r="L66" i="1"/>
  <c r="M65" i="1"/>
  <c r="L65" i="1"/>
  <c r="M64" i="1"/>
  <c r="N64" i="1" s="1"/>
  <c r="L64" i="1"/>
  <c r="M63" i="1"/>
  <c r="N63" i="1" s="1"/>
  <c r="L63" i="1"/>
  <c r="M62" i="1"/>
  <c r="N62" i="1" s="1"/>
  <c r="L62" i="1"/>
  <c r="M61" i="1"/>
  <c r="L61" i="1"/>
  <c r="N60" i="1"/>
  <c r="M60" i="1"/>
  <c r="L60" i="1"/>
  <c r="N59" i="1"/>
  <c r="M59" i="1"/>
  <c r="L59" i="1"/>
  <c r="M58" i="1"/>
  <c r="L58" i="1"/>
  <c r="M57" i="1"/>
  <c r="N57" i="1" s="1"/>
  <c r="L57" i="1"/>
  <c r="M56" i="1"/>
  <c r="N56" i="1" s="1"/>
  <c r="L56" i="1"/>
  <c r="N55" i="1"/>
  <c r="M55" i="1"/>
  <c r="L55" i="1"/>
  <c r="M54" i="1"/>
  <c r="N54" i="1" s="1"/>
  <c r="L54" i="1"/>
  <c r="M53" i="1"/>
  <c r="L53" i="1"/>
  <c r="N52" i="1"/>
  <c r="M52" i="1"/>
  <c r="L52" i="1"/>
  <c r="N51" i="1"/>
  <c r="M51" i="1"/>
  <c r="L51" i="1"/>
  <c r="M50" i="1"/>
  <c r="L50" i="1"/>
  <c r="M49" i="1"/>
  <c r="L49" i="1"/>
  <c r="M48" i="1"/>
  <c r="N48" i="1" s="1"/>
  <c r="L48" i="1"/>
  <c r="M47" i="1"/>
  <c r="N47" i="1" s="1"/>
  <c r="L47" i="1"/>
  <c r="M46" i="1"/>
  <c r="N46" i="1" s="1"/>
  <c r="L46" i="1"/>
  <c r="M45" i="1"/>
  <c r="N45" i="1" s="1"/>
  <c r="L45" i="1"/>
  <c r="N44" i="1"/>
  <c r="M44" i="1"/>
  <c r="L44" i="1"/>
  <c r="N43" i="1"/>
  <c r="M43" i="1"/>
  <c r="L43" i="1"/>
  <c r="M42" i="1"/>
  <c r="N42" i="1" s="1"/>
  <c r="L42" i="1"/>
  <c r="M41" i="1"/>
  <c r="L41" i="1"/>
  <c r="M40" i="1"/>
  <c r="N40" i="1" s="1"/>
  <c r="L40" i="1"/>
  <c r="M39" i="1"/>
  <c r="N39" i="1" s="1"/>
  <c r="L39" i="1"/>
  <c r="M38" i="1"/>
  <c r="N38" i="1" s="1"/>
  <c r="L38" i="1"/>
  <c r="M37" i="1"/>
  <c r="L37" i="1"/>
  <c r="N36" i="1"/>
  <c r="M36" i="1"/>
  <c r="L36" i="1"/>
  <c r="N35" i="1"/>
  <c r="M35" i="1"/>
  <c r="L35" i="1"/>
  <c r="M34" i="1"/>
  <c r="L34" i="1"/>
  <c r="M33" i="1"/>
  <c r="L33" i="1"/>
  <c r="M32" i="1"/>
  <c r="N32" i="1" s="1"/>
  <c r="L32" i="1"/>
  <c r="M31" i="1"/>
  <c r="N31" i="1" s="1"/>
  <c r="L31" i="1"/>
  <c r="M30" i="1"/>
  <c r="N30" i="1" s="1"/>
  <c r="L30" i="1"/>
  <c r="M29" i="1"/>
  <c r="L29" i="1"/>
  <c r="N28" i="1"/>
  <c r="M28" i="1"/>
  <c r="L28" i="1"/>
  <c r="N27" i="1"/>
  <c r="M27" i="1"/>
  <c r="L27" i="1"/>
  <c r="M26" i="1"/>
  <c r="L26" i="1"/>
  <c r="M25" i="1"/>
  <c r="N25" i="1" s="1"/>
  <c r="L25" i="1"/>
  <c r="M24" i="1"/>
  <c r="N24" i="1" s="1"/>
  <c r="L24" i="1"/>
  <c r="N23" i="1"/>
  <c r="M23" i="1"/>
  <c r="L23" i="1"/>
  <c r="M22" i="1"/>
  <c r="N22" i="1" s="1"/>
  <c r="L22" i="1"/>
  <c r="M21" i="1"/>
  <c r="L21" i="1"/>
  <c r="N20" i="1"/>
  <c r="M20" i="1"/>
  <c r="L20" i="1"/>
  <c r="N19" i="1"/>
  <c r="M19" i="1"/>
  <c r="L19" i="1"/>
  <c r="M18" i="1"/>
  <c r="L18" i="1"/>
  <c r="M17" i="1"/>
  <c r="L17" i="1"/>
  <c r="M16" i="1"/>
  <c r="N16" i="1" s="1"/>
  <c r="L16" i="1"/>
  <c r="M15" i="1"/>
  <c r="N15" i="1" s="1"/>
  <c r="L15" i="1"/>
  <c r="M14" i="1"/>
  <c r="N14" i="1" s="1"/>
  <c r="L14" i="1"/>
  <c r="M13" i="1"/>
  <c r="N13" i="1" s="1"/>
  <c r="L13" i="1"/>
  <c r="N12" i="1"/>
  <c r="M12" i="1"/>
  <c r="L12" i="1"/>
  <c r="N11" i="1"/>
  <c r="M11" i="1"/>
  <c r="L11" i="1"/>
  <c r="M10" i="1"/>
  <c r="N10" i="1" s="1"/>
  <c r="L10" i="1"/>
  <c r="M9" i="1"/>
  <c r="L9" i="1"/>
  <c r="M8" i="1"/>
  <c r="N8" i="1" s="1"/>
  <c r="L8" i="1"/>
  <c r="M7" i="1"/>
  <c r="N7" i="1" s="1"/>
  <c r="L7" i="1"/>
  <c r="M6" i="1"/>
  <c r="N6" i="1" s="1"/>
  <c r="L6" i="1"/>
  <c r="M5" i="1"/>
  <c r="L5" i="1"/>
  <c r="N4" i="1"/>
  <c r="M4" i="1"/>
  <c r="L4" i="1"/>
  <c r="N3" i="1"/>
  <c r="M3" i="1"/>
  <c r="L3" i="1"/>
  <c r="M2" i="1"/>
  <c r="L2" i="1"/>
  <c r="N37" i="1" l="1"/>
  <c r="N81" i="1"/>
  <c r="N58" i="1"/>
  <c r="N61" i="1"/>
  <c r="N125" i="1"/>
  <c r="N169" i="1"/>
  <c r="N210" i="1"/>
  <c r="N281" i="1"/>
  <c r="N313" i="1"/>
  <c r="N345" i="1"/>
  <c r="N377" i="1"/>
  <c r="N409" i="1"/>
  <c r="N441" i="1"/>
  <c r="N473" i="1"/>
  <c r="N505" i="1"/>
  <c r="N537" i="1"/>
  <c r="N569" i="1"/>
  <c r="N34" i="1"/>
  <c r="N98" i="1"/>
  <c r="N41" i="1"/>
  <c r="N105" i="1"/>
  <c r="N122" i="1"/>
  <c r="N186" i="1"/>
  <c r="N189" i="1"/>
  <c r="N217" i="1"/>
  <c r="N249" i="1"/>
  <c r="N18" i="1"/>
  <c r="N21" i="1"/>
  <c r="N65" i="1"/>
  <c r="N82" i="1"/>
  <c r="N85" i="1"/>
  <c r="N129" i="1"/>
  <c r="N146" i="1"/>
  <c r="N149" i="1"/>
  <c r="N193" i="1"/>
  <c r="N2" i="1"/>
  <c r="N5" i="1"/>
  <c r="N49" i="1"/>
  <c r="N66" i="1"/>
  <c r="N69" i="1"/>
  <c r="N113" i="1"/>
  <c r="N130" i="1"/>
  <c r="N133" i="1"/>
  <c r="N177" i="1"/>
  <c r="N194" i="1"/>
  <c r="N197" i="1"/>
  <c r="N17" i="1"/>
  <c r="N101" i="1"/>
  <c r="N9" i="1"/>
  <c r="N26" i="1"/>
  <c r="N29" i="1"/>
  <c r="N73" i="1"/>
  <c r="N297" i="1"/>
  <c r="N329" i="1"/>
  <c r="N361" i="1"/>
  <c r="N393" i="1"/>
  <c r="N425" i="1"/>
  <c r="N457" i="1"/>
  <c r="N489" i="1"/>
  <c r="N521" i="1"/>
  <c r="N553" i="1"/>
  <c r="N33" i="1"/>
  <c r="N50" i="1"/>
  <c r="N53" i="1"/>
  <c r="N97" i="1"/>
  <c r="N114" i="1"/>
  <c r="N117" i="1"/>
  <c r="N161" i="1"/>
  <c r="N178" i="1"/>
  <c r="N181" i="1"/>
</calcChain>
</file>

<file path=xl/sharedStrings.xml><?xml version="1.0" encoding="utf-8"?>
<sst xmlns="http://schemas.openxmlformats.org/spreadsheetml/2006/main" count="3079" uniqueCount="829">
  <si>
    <t>Student ID</t>
  </si>
  <si>
    <t>Student_Name</t>
  </si>
  <si>
    <t>Gender</t>
  </si>
  <si>
    <t>Age</t>
  </si>
  <si>
    <t>Course</t>
  </si>
  <si>
    <t>Semester</t>
  </si>
  <si>
    <t>Marks_communication skills</t>
  </si>
  <si>
    <t>Marks_Sanskrit</t>
  </si>
  <si>
    <t>Marks_English</t>
  </si>
  <si>
    <t>Attendance_Percentage</t>
  </si>
  <si>
    <t>Grade</t>
  </si>
  <si>
    <t>Average score</t>
  </si>
  <si>
    <t>Pass/Fail</t>
  </si>
  <si>
    <t>Intervention</t>
  </si>
  <si>
    <t>STU1001</t>
  </si>
  <si>
    <t>Anika Reddy</t>
  </si>
  <si>
    <t>Male</t>
  </si>
  <si>
    <t>BCA</t>
  </si>
  <si>
    <t>A</t>
  </si>
  <si>
    <t>STU1002</t>
  </si>
  <si>
    <t>Vivaan Iyer</t>
  </si>
  <si>
    <t>Female</t>
  </si>
  <si>
    <t>C</t>
  </si>
  <si>
    <t>STU1003</t>
  </si>
  <si>
    <t>Anika Sharma</t>
  </si>
  <si>
    <t>STU1004</t>
  </si>
  <si>
    <t>Anika Patel</t>
  </si>
  <si>
    <t>BSc</t>
  </si>
  <si>
    <t>B</t>
  </si>
  <si>
    <t>STU1005</t>
  </si>
  <si>
    <t>Krishna Sharma</t>
  </si>
  <si>
    <t>D</t>
  </si>
  <si>
    <t>STU1006</t>
  </si>
  <si>
    <t>Aditya Kumar</t>
  </si>
  <si>
    <t>BBA</t>
  </si>
  <si>
    <t>STU1007</t>
  </si>
  <si>
    <t>Diya Patel</t>
  </si>
  <si>
    <t>BCom</t>
  </si>
  <si>
    <t>STU1008</t>
  </si>
  <si>
    <t>Saanvi Nair</t>
  </si>
  <si>
    <t>STU1009</t>
  </si>
  <si>
    <t>Sai Verma</t>
  </si>
  <si>
    <t>STU1010</t>
  </si>
  <si>
    <t>Sai Kumar</t>
  </si>
  <si>
    <t>STU1011</t>
  </si>
  <si>
    <t>Aarav Nair</t>
  </si>
  <si>
    <t>STU1012</t>
  </si>
  <si>
    <t>Saanvi Kumar</t>
  </si>
  <si>
    <t>STU1013</t>
  </si>
  <si>
    <t>Vivaan Nair</t>
  </si>
  <si>
    <t>BA</t>
  </si>
  <si>
    <t>STU1014</t>
  </si>
  <si>
    <t>Pooja Gupta</t>
  </si>
  <si>
    <t>STU1015</t>
  </si>
  <si>
    <t>Vivaan Reddy</t>
  </si>
  <si>
    <t>F</t>
  </si>
  <si>
    <t>STU1016</t>
  </si>
  <si>
    <t>Krishna Kumar</t>
  </si>
  <si>
    <t>STU1017</t>
  </si>
  <si>
    <t>Diya Iyer</t>
  </si>
  <si>
    <t>STU1018</t>
  </si>
  <si>
    <t>STU1019</t>
  </si>
  <si>
    <t>Pooja Rao</t>
  </si>
  <si>
    <t>STU1020</t>
  </si>
  <si>
    <t>STU1021</t>
  </si>
  <si>
    <t>STU1022</t>
  </si>
  <si>
    <t>Ira Mehta</t>
  </si>
  <si>
    <t>STU1023</t>
  </si>
  <si>
    <t>Aarav Mehta</t>
  </si>
  <si>
    <t>STU1024</t>
  </si>
  <si>
    <t>Diya Gupta</t>
  </si>
  <si>
    <t>STU1025</t>
  </si>
  <si>
    <t>Diya Kumar</t>
  </si>
  <si>
    <t>STU1026</t>
  </si>
  <si>
    <t>Krishna Rao</t>
  </si>
  <si>
    <t>STU1027</t>
  </si>
  <si>
    <t>Arjun Nair</t>
  </si>
  <si>
    <t>STU1028</t>
  </si>
  <si>
    <t>Arjun Gupta</t>
  </si>
  <si>
    <t>STU1029</t>
  </si>
  <si>
    <t>Vivaan Patel</t>
  </si>
  <si>
    <t>STU1030</t>
  </si>
  <si>
    <t>Ira Gupta</t>
  </si>
  <si>
    <t>STU1031</t>
  </si>
  <si>
    <t>Sneha Sharma</t>
  </si>
  <si>
    <t>STU1032</t>
  </si>
  <si>
    <t>STU1033</t>
  </si>
  <si>
    <t>Krishna Nair</t>
  </si>
  <si>
    <t>STU1034</t>
  </si>
  <si>
    <t>Myra Gupta</t>
  </si>
  <si>
    <t>STU1035</t>
  </si>
  <si>
    <t>Reyansh Nair</t>
  </si>
  <si>
    <t>STU1036</t>
  </si>
  <si>
    <t>Riya Kumar</t>
  </si>
  <si>
    <t>STU1037</t>
  </si>
  <si>
    <t>Sai Reddy</t>
  </si>
  <si>
    <t>STU1038</t>
  </si>
  <si>
    <t>Ananya Sharma</t>
  </si>
  <si>
    <t>STU1039</t>
  </si>
  <si>
    <t>STU1040</t>
  </si>
  <si>
    <t>Aadhya Rao</t>
  </si>
  <si>
    <t>STU1041</t>
  </si>
  <si>
    <t>STU1042</t>
  </si>
  <si>
    <t>Sneha Mehta</t>
  </si>
  <si>
    <t>STU1043</t>
  </si>
  <si>
    <t>Rohan Kumar</t>
  </si>
  <si>
    <t>STU1044</t>
  </si>
  <si>
    <t>Vivaan Kumar</t>
  </si>
  <si>
    <t>STU1045</t>
  </si>
  <si>
    <t>Reyansh Gupta</t>
  </si>
  <si>
    <t>STU1046</t>
  </si>
  <si>
    <t>Vihaan Mehta</t>
  </si>
  <si>
    <t>STU1047</t>
  </si>
  <si>
    <t>Riya Rao</t>
  </si>
  <si>
    <t>STU1048</t>
  </si>
  <si>
    <t>STU1049</t>
  </si>
  <si>
    <t>Myra Rao</t>
  </si>
  <si>
    <t>STU1050</t>
  </si>
  <si>
    <t>Reyansh Reddy</t>
  </si>
  <si>
    <t>STU1051</t>
  </si>
  <si>
    <t>STU1052</t>
  </si>
  <si>
    <t>Rohan Rao</t>
  </si>
  <si>
    <t>STU1053</t>
  </si>
  <si>
    <t>Pooja Verma</t>
  </si>
  <si>
    <t>STU1054</t>
  </si>
  <si>
    <t>Reyansh Kumar</t>
  </si>
  <si>
    <t>A+</t>
  </si>
  <si>
    <t>STU1055</t>
  </si>
  <si>
    <t>Ira Reddy</t>
  </si>
  <si>
    <t>STU1056</t>
  </si>
  <si>
    <t>Pooja Kumar</t>
  </si>
  <si>
    <t>STU1057</t>
  </si>
  <si>
    <t>STU1058</t>
  </si>
  <si>
    <t>STU1059</t>
  </si>
  <si>
    <t>Ishaan Nair</t>
  </si>
  <si>
    <t>STU1060</t>
  </si>
  <si>
    <t>Ishaan Patel</t>
  </si>
  <si>
    <t>STU1061</t>
  </si>
  <si>
    <t>Aadhya Mehta</t>
  </si>
  <si>
    <t>STU1062</t>
  </si>
  <si>
    <t>STU1063</t>
  </si>
  <si>
    <t>Krishna Verma</t>
  </si>
  <si>
    <t>STU1064</t>
  </si>
  <si>
    <t>Sai Rao</t>
  </si>
  <si>
    <t>STU1065</t>
  </si>
  <si>
    <t>Myra Kumar</t>
  </si>
  <si>
    <t>STU1066</t>
  </si>
  <si>
    <t>Aditya Mehta</t>
  </si>
  <si>
    <t>STU1067</t>
  </si>
  <si>
    <t>Vihaan Nair</t>
  </si>
  <si>
    <t>STU1068</t>
  </si>
  <si>
    <t>Aditya Nair</t>
  </si>
  <si>
    <t>STU1069</t>
  </si>
  <si>
    <t>Ira Iyer</t>
  </si>
  <si>
    <t>STU1070</t>
  </si>
  <si>
    <t>Riya Reddy</t>
  </si>
  <si>
    <t>STU1071</t>
  </si>
  <si>
    <t>Ishaan Rao</t>
  </si>
  <si>
    <t>STU1072</t>
  </si>
  <si>
    <t>Ananya Verma</t>
  </si>
  <si>
    <t>STU1073</t>
  </si>
  <si>
    <t>Anika Rao</t>
  </si>
  <si>
    <t>STU1074</t>
  </si>
  <si>
    <t>Pooja Reddy</t>
  </si>
  <si>
    <t>STU1075</t>
  </si>
  <si>
    <t>STU1076</t>
  </si>
  <si>
    <t>Diya Rao</t>
  </si>
  <si>
    <t>STU1077</t>
  </si>
  <si>
    <t>Saanvi Reddy</t>
  </si>
  <si>
    <t>STU1078</t>
  </si>
  <si>
    <t>Arjun Patel</t>
  </si>
  <si>
    <t>STU1079</t>
  </si>
  <si>
    <t>Ishaan Kumar</t>
  </si>
  <si>
    <t>STU1080</t>
  </si>
  <si>
    <t>Ananya Kumar</t>
  </si>
  <si>
    <t>STU1081</t>
  </si>
  <si>
    <t>STU1082</t>
  </si>
  <si>
    <t>Rohan Verma</t>
  </si>
  <si>
    <t>STU1083</t>
  </si>
  <si>
    <t>Pooja Iyer</t>
  </si>
  <si>
    <t>STU1084</t>
  </si>
  <si>
    <t>Aadhya Sharma</t>
  </si>
  <si>
    <t>STU1085</t>
  </si>
  <si>
    <t>STU1086</t>
  </si>
  <si>
    <t>Vivaan Verma</t>
  </si>
  <si>
    <t>STU1087</t>
  </si>
  <si>
    <t>STU1088</t>
  </si>
  <si>
    <t>STU1089</t>
  </si>
  <si>
    <t>Arjun Iyer</t>
  </si>
  <si>
    <t>STU1090</t>
  </si>
  <si>
    <t>STU1091</t>
  </si>
  <si>
    <t>Aarav Iyer</t>
  </si>
  <si>
    <t>STU1092</t>
  </si>
  <si>
    <t>STU1093</t>
  </si>
  <si>
    <t>Ira Sharma</t>
  </si>
  <si>
    <t>STU1094</t>
  </si>
  <si>
    <t>Myra Reddy</t>
  </si>
  <si>
    <t>STU1095</t>
  </si>
  <si>
    <t>STU1096</t>
  </si>
  <si>
    <t>STU1097</t>
  </si>
  <si>
    <t>STU1098</t>
  </si>
  <si>
    <t>STU1099</t>
  </si>
  <si>
    <t>Riya Mehta</t>
  </si>
  <si>
    <t>STU1100</t>
  </si>
  <si>
    <t>Diya Verma</t>
  </si>
  <si>
    <t>STU1101</t>
  </si>
  <si>
    <t>Saanvi Gupta</t>
  </si>
  <si>
    <t>STU1102</t>
  </si>
  <si>
    <t>STU1103</t>
  </si>
  <si>
    <t>STU1104</t>
  </si>
  <si>
    <t>STU1105</t>
  </si>
  <si>
    <t>Reyansh Rao</t>
  </si>
  <si>
    <t>STU1106</t>
  </si>
  <si>
    <t>Vihaan Sharma</t>
  </si>
  <si>
    <t>STU1107</t>
  </si>
  <si>
    <t>Vihaan Patel</t>
  </si>
  <si>
    <t>STU1108</t>
  </si>
  <si>
    <t>Riya Verma</t>
  </si>
  <si>
    <t>STU1109</t>
  </si>
  <si>
    <t>STU1110</t>
  </si>
  <si>
    <t>Krishna Iyer</t>
  </si>
  <si>
    <t>STU1111</t>
  </si>
  <si>
    <t>STU1112</t>
  </si>
  <si>
    <t>Arjun Verma</t>
  </si>
  <si>
    <t>STU1113</t>
  </si>
  <si>
    <t>Riya Gupta</t>
  </si>
  <si>
    <t>STU1114</t>
  </si>
  <si>
    <t>STU1115</t>
  </si>
  <si>
    <t>STU1116</t>
  </si>
  <si>
    <t>Aarav Sharma</t>
  </si>
  <si>
    <t>STU1117</t>
  </si>
  <si>
    <t>STU1118</t>
  </si>
  <si>
    <t>Sai Sharma</t>
  </si>
  <si>
    <t>STU1119</t>
  </si>
  <si>
    <t>Diya Mehta</t>
  </si>
  <si>
    <t>STU1120</t>
  </si>
  <si>
    <t>STU1121</t>
  </si>
  <si>
    <t>Anika Iyer</t>
  </si>
  <si>
    <t>STU1122</t>
  </si>
  <si>
    <t>STU1123</t>
  </si>
  <si>
    <t>Krishna Patel</t>
  </si>
  <si>
    <t>STU1124</t>
  </si>
  <si>
    <t>Reyansh Patel</t>
  </si>
  <si>
    <t>STU1125</t>
  </si>
  <si>
    <t>STU1126</t>
  </si>
  <si>
    <t>Sai Mehta</t>
  </si>
  <si>
    <t>STU1127</t>
  </si>
  <si>
    <t>Anika Kumar</t>
  </si>
  <si>
    <t>STU1128</t>
  </si>
  <si>
    <t>STU1129</t>
  </si>
  <si>
    <t>STU1130</t>
  </si>
  <si>
    <t>STU1131</t>
  </si>
  <si>
    <t>STU1132</t>
  </si>
  <si>
    <t>Saanvi Iyer</t>
  </si>
  <si>
    <t>STU1133</t>
  </si>
  <si>
    <t>Arjun Sharma</t>
  </si>
  <si>
    <t>STU1134</t>
  </si>
  <si>
    <t>STU1135</t>
  </si>
  <si>
    <t>Ira Kumar</t>
  </si>
  <si>
    <t>STU1136</t>
  </si>
  <si>
    <t>Myra Mehta</t>
  </si>
  <si>
    <t>STU1137</t>
  </si>
  <si>
    <t>STU1138</t>
  </si>
  <si>
    <t>Ishaan Reddy</t>
  </si>
  <si>
    <t>STU1139</t>
  </si>
  <si>
    <t>STU1140</t>
  </si>
  <si>
    <t>STU1141</t>
  </si>
  <si>
    <t>Rohan Nair</t>
  </si>
  <si>
    <t>STU1142</t>
  </si>
  <si>
    <t>STU1143</t>
  </si>
  <si>
    <t>Vivaan Rao</t>
  </si>
  <si>
    <t>STU1144</t>
  </si>
  <si>
    <t>Krishna Gupta</t>
  </si>
  <si>
    <t>STU1145</t>
  </si>
  <si>
    <t>STU1146</t>
  </si>
  <si>
    <t>STU1147</t>
  </si>
  <si>
    <t>Aditya Iyer</t>
  </si>
  <si>
    <t>STU1148</t>
  </si>
  <si>
    <t>STU1149</t>
  </si>
  <si>
    <t>Sneha Reddy</t>
  </si>
  <si>
    <t>STU1150</t>
  </si>
  <si>
    <t>Sneha Kumar</t>
  </si>
  <si>
    <t>STU1151</t>
  </si>
  <si>
    <t>Ananya Iyer</t>
  </si>
  <si>
    <t>STU1152</t>
  </si>
  <si>
    <t>STU1153</t>
  </si>
  <si>
    <t>STU1154</t>
  </si>
  <si>
    <t>STU1155</t>
  </si>
  <si>
    <t>STU1156</t>
  </si>
  <si>
    <t>Aarav Reddy</t>
  </si>
  <si>
    <t>STU1157</t>
  </si>
  <si>
    <t>Diya Nair</t>
  </si>
  <si>
    <t>STU1158</t>
  </si>
  <si>
    <t>Rohan Gupta</t>
  </si>
  <si>
    <t>STU1159</t>
  </si>
  <si>
    <t>STU1160</t>
  </si>
  <si>
    <t>STU1161</t>
  </si>
  <si>
    <t>STU1162</t>
  </si>
  <si>
    <t>STU1163</t>
  </si>
  <si>
    <t>Aditya Gupta</t>
  </si>
  <si>
    <t>STU1164</t>
  </si>
  <si>
    <t>STU1165</t>
  </si>
  <si>
    <t>Ira Patel</t>
  </si>
  <si>
    <t>STU1166</t>
  </si>
  <si>
    <t>STU1167</t>
  </si>
  <si>
    <t>STU1168</t>
  </si>
  <si>
    <t>STU1169</t>
  </si>
  <si>
    <t>STU1170</t>
  </si>
  <si>
    <t>Vihaan Gupta</t>
  </si>
  <si>
    <t>STU1171</t>
  </si>
  <si>
    <t>STU1172</t>
  </si>
  <si>
    <t>STU1173</t>
  </si>
  <si>
    <t>Sneha Gupta</t>
  </si>
  <si>
    <t>STU1174</t>
  </si>
  <si>
    <t>Ishaan Gupta</t>
  </si>
  <si>
    <t>STU1175</t>
  </si>
  <si>
    <t>STU1176</t>
  </si>
  <si>
    <t>STU1177</t>
  </si>
  <si>
    <t>STU1178</t>
  </si>
  <si>
    <t>STU1179</t>
  </si>
  <si>
    <t>Aadhya Reddy</t>
  </si>
  <si>
    <t>STU1180</t>
  </si>
  <si>
    <t>Sneha Rao</t>
  </si>
  <si>
    <t>STU1181</t>
  </si>
  <si>
    <t>STU1182</t>
  </si>
  <si>
    <t>STU1183</t>
  </si>
  <si>
    <t>Ananya Nair</t>
  </si>
  <si>
    <t>STU1184</t>
  </si>
  <si>
    <t>STU1185</t>
  </si>
  <si>
    <t>Anika Nair</t>
  </si>
  <si>
    <t>STU1186</t>
  </si>
  <si>
    <t>Vivaan Gupta</t>
  </si>
  <si>
    <t>STU1187</t>
  </si>
  <si>
    <t>Aditya Reddy</t>
  </si>
  <si>
    <t>STU1188</t>
  </si>
  <si>
    <t>Krishna Reddy</t>
  </si>
  <si>
    <t>STU1189</t>
  </si>
  <si>
    <t>Riya Patel</t>
  </si>
  <si>
    <t>STU1190</t>
  </si>
  <si>
    <t>STU1191</t>
  </si>
  <si>
    <t>STU1192</t>
  </si>
  <si>
    <t>STU1193</t>
  </si>
  <si>
    <t>STU1194</t>
  </si>
  <si>
    <t>STU1195</t>
  </si>
  <si>
    <t>Reyansh Mehta</t>
  </si>
  <si>
    <t>STU1196</t>
  </si>
  <si>
    <t>STU1197</t>
  </si>
  <si>
    <t>Aditya Patel</t>
  </si>
  <si>
    <t>STU1198</t>
  </si>
  <si>
    <t>STU1199</t>
  </si>
  <si>
    <t>Arjun Kumar</t>
  </si>
  <si>
    <t>STU1200</t>
  </si>
  <si>
    <t>STU1201</t>
  </si>
  <si>
    <t>STU1202</t>
  </si>
  <si>
    <t>STU1203</t>
  </si>
  <si>
    <t>STU1204</t>
  </si>
  <si>
    <t>Aditya Rao</t>
  </si>
  <si>
    <t>STU1205</t>
  </si>
  <si>
    <t>STU1206</t>
  </si>
  <si>
    <t>STU1207</t>
  </si>
  <si>
    <t>STU1208</t>
  </si>
  <si>
    <t>STU1209</t>
  </si>
  <si>
    <t>Myra Verma</t>
  </si>
  <si>
    <t>STU1210</t>
  </si>
  <si>
    <t>Arjun Rao</t>
  </si>
  <si>
    <t>STU1211</t>
  </si>
  <si>
    <t>Diya Reddy</t>
  </si>
  <si>
    <t>STU1212</t>
  </si>
  <si>
    <t>Aarav Patel</t>
  </si>
  <si>
    <t>STU1213</t>
  </si>
  <si>
    <t>STU1214</t>
  </si>
  <si>
    <t>STU1215</t>
  </si>
  <si>
    <t>STU1216</t>
  </si>
  <si>
    <t>Ishaan Iyer</t>
  </si>
  <si>
    <t>STU1217</t>
  </si>
  <si>
    <t>STU1218</t>
  </si>
  <si>
    <t>Aarav Rao</t>
  </si>
  <si>
    <t>STU1219</t>
  </si>
  <si>
    <t>Diya Sharma</t>
  </si>
  <si>
    <t>STU1220</t>
  </si>
  <si>
    <t>STU1221</t>
  </si>
  <si>
    <t>STU1222</t>
  </si>
  <si>
    <t>Reyansh Iyer</t>
  </si>
  <si>
    <t>STU1223</t>
  </si>
  <si>
    <t>Anika Gupta</t>
  </si>
  <si>
    <t>STU1224</t>
  </si>
  <si>
    <t>STU1225</t>
  </si>
  <si>
    <t>STU1226</t>
  </si>
  <si>
    <t>STU1227</t>
  </si>
  <si>
    <t>STU1228</t>
  </si>
  <si>
    <t>Rohan Patel</t>
  </si>
  <si>
    <t>STU1229</t>
  </si>
  <si>
    <t>STU1230</t>
  </si>
  <si>
    <t>STU1231</t>
  </si>
  <si>
    <t>STU1232</t>
  </si>
  <si>
    <t>Pooja Patel</t>
  </si>
  <si>
    <t>STU1233</t>
  </si>
  <si>
    <t>STU1234</t>
  </si>
  <si>
    <t>Saanvi Sharma</t>
  </si>
  <si>
    <t>STU1235</t>
  </si>
  <si>
    <t>Riya Iyer</t>
  </si>
  <si>
    <t>STU1236</t>
  </si>
  <si>
    <t>STU1237</t>
  </si>
  <si>
    <t>Ananya Patel</t>
  </si>
  <si>
    <t>STU1238</t>
  </si>
  <si>
    <t>STU1239</t>
  </si>
  <si>
    <t>STU1240</t>
  </si>
  <si>
    <t>STU1241</t>
  </si>
  <si>
    <t>STU1242</t>
  </si>
  <si>
    <t>Aarav Gupta</t>
  </si>
  <si>
    <t>STU1243</t>
  </si>
  <si>
    <t>Aadhya Verma</t>
  </si>
  <si>
    <t>STU1244</t>
  </si>
  <si>
    <t>STU1245</t>
  </si>
  <si>
    <t>STU1246</t>
  </si>
  <si>
    <t>STU1247</t>
  </si>
  <si>
    <t>STU1248</t>
  </si>
  <si>
    <t>STU1249</t>
  </si>
  <si>
    <t>Riya Sharma</t>
  </si>
  <si>
    <t>STU1250</t>
  </si>
  <si>
    <t>Myra Patel</t>
  </si>
  <si>
    <t>STU1251</t>
  </si>
  <si>
    <t>STU1252</t>
  </si>
  <si>
    <t>STU1253</t>
  </si>
  <si>
    <t>STU1254</t>
  </si>
  <si>
    <t>STU1255</t>
  </si>
  <si>
    <t>Sneha Iyer</t>
  </si>
  <si>
    <t>STU1256</t>
  </si>
  <si>
    <t>STU1257</t>
  </si>
  <si>
    <t>STU1258</t>
  </si>
  <si>
    <t>Sneha Nair</t>
  </si>
  <si>
    <t>STU1259</t>
  </si>
  <si>
    <t>STU1260</t>
  </si>
  <si>
    <t>STU1261</t>
  </si>
  <si>
    <t>STU1262</t>
  </si>
  <si>
    <t>STU1263</t>
  </si>
  <si>
    <t>STU1264</t>
  </si>
  <si>
    <t>STU1265</t>
  </si>
  <si>
    <t>Myra Nair</t>
  </si>
  <si>
    <t>STU1266</t>
  </si>
  <si>
    <t>Sai Nair</t>
  </si>
  <si>
    <t>STU1267</t>
  </si>
  <si>
    <t>STU1268</t>
  </si>
  <si>
    <t>STU1269</t>
  </si>
  <si>
    <t>STU1270</t>
  </si>
  <si>
    <t>STU1271</t>
  </si>
  <si>
    <t>STU1272</t>
  </si>
  <si>
    <t>Saanvi Rao</t>
  </si>
  <si>
    <t>STU1273</t>
  </si>
  <si>
    <t>STU1274</t>
  </si>
  <si>
    <t>STU1275</t>
  </si>
  <si>
    <t>Ishaan Verma</t>
  </si>
  <si>
    <t>STU1276</t>
  </si>
  <si>
    <t>STU1277</t>
  </si>
  <si>
    <t>Rohan Sharma</t>
  </si>
  <si>
    <t>STU1278</t>
  </si>
  <si>
    <t>STU1279</t>
  </si>
  <si>
    <t>STU1280</t>
  </si>
  <si>
    <t>STU1281</t>
  </si>
  <si>
    <t>STU1282</t>
  </si>
  <si>
    <t>Aditya Verma</t>
  </si>
  <si>
    <t>STU1283</t>
  </si>
  <si>
    <t>STU1284</t>
  </si>
  <si>
    <t>Ira Rao</t>
  </si>
  <si>
    <t>STU1285</t>
  </si>
  <si>
    <t>STU1286</t>
  </si>
  <si>
    <t>Rohan Iyer</t>
  </si>
  <si>
    <t>STU1287</t>
  </si>
  <si>
    <t>STU1288</t>
  </si>
  <si>
    <t>STU1289</t>
  </si>
  <si>
    <t>STU1290</t>
  </si>
  <si>
    <t>STU1291</t>
  </si>
  <si>
    <t>Aadhya Kumar</t>
  </si>
  <si>
    <t>STU1292</t>
  </si>
  <si>
    <t>STU1293</t>
  </si>
  <si>
    <t>Myra Sharma</t>
  </si>
  <si>
    <t>STU1294</t>
  </si>
  <si>
    <t>STU1295</t>
  </si>
  <si>
    <t>STU1296</t>
  </si>
  <si>
    <t>STU1297</t>
  </si>
  <si>
    <t>STU1298</t>
  </si>
  <si>
    <t>STU1299</t>
  </si>
  <si>
    <t>STU1300</t>
  </si>
  <si>
    <t>STU1301</t>
  </si>
  <si>
    <t>Vihaan Iyer</t>
  </si>
  <si>
    <t>STU1302</t>
  </si>
  <si>
    <t>STU1303</t>
  </si>
  <si>
    <t>STU1304</t>
  </si>
  <si>
    <t>Vivaan Sharma</t>
  </si>
  <si>
    <t>STU1305</t>
  </si>
  <si>
    <t>STU1306</t>
  </si>
  <si>
    <t>STU1307</t>
  </si>
  <si>
    <t>STU1308</t>
  </si>
  <si>
    <t>STU1309</t>
  </si>
  <si>
    <t>STU1310</t>
  </si>
  <si>
    <t>STU1311</t>
  </si>
  <si>
    <t>Ira Nair</t>
  </si>
  <si>
    <t>STU1312</t>
  </si>
  <si>
    <t>Saanvi Mehta</t>
  </si>
  <si>
    <t>STU1313</t>
  </si>
  <si>
    <t>STU1314</t>
  </si>
  <si>
    <t>STU1315</t>
  </si>
  <si>
    <t>STU1316</t>
  </si>
  <si>
    <t>STU1317</t>
  </si>
  <si>
    <t>STU1318</t>
  </si>
  <si>
    <t>STU1319</t>
  </si>
  <si>
    <t>Myra Iyer</t>
  </si>
  <si>
    <t>STU1320</t>
  </si>
  <si>
    <t>STU1321</t>
  </si>
  <si>
    <t>Ishaan Mehta</t>
  </si>
  <si>
    <t>STU1322</t>
  </si>
  <si>
    <t>STU1323</t>
  </si>
  <si>
    <t>STU1324</t>
  </si>
  <si>
    <t>STU1325</t>
  </si>
  <si>
    <t>STU1326</t>
  </si>
  <si>
    <t>STU1327</t>
  </si>
  <si>
    <t>Sneha Patel</t>
  </si>
  <si>
    <t>STU1328</t>
  </si>
  <si>
    <t>STU1329</t>
  </si>
  <si>
    <t>STU1330</t>
  </si>
  <si>
    <t>STU1331</t>
  </si>
  <si>
    <t>STU1332</t>
  </si>
  <si>
    <t>STU1333</t>
  </si>
  <si>
    <t>STU1334</t>
  </si>
  <si>
    <t>STU1335</t>
  </si>
  <si>
    <t>STU1336</t>
  </si>
  <si>
    <t>STU1337</t>
  </si>
  <si>
    <t>STU1338</t>
  </si>
  <si>
    <t>STU1339</t>
  </si>
  <si>
    <t>STU1340</t>
  </si>
  <si>
    <t>STU1341</t>
  </si>
  <si>
    <t>STU1342</t>
  </si>
  <si>
    <t>STU1343</t>
  </si>
  <si>
    <t>STU1344</t>
  </si>
  <si>
    <t>STU1345</t>
  </si>
  <si>
    <t>STU1346</t>
  </si>
  <si>
    <t>STU1347</t>
  </si>
  <si>
    <t>STU1348</t>
  </si>
  <si>
    <t>STU1349</t>
  </si>
  <si>
    <t>STU1350</t>
  </si>
  <si>
    <t>Saanvi Verma</t>
  </si>
  <si>
    <t>STU1351</t>
  </si>
  <si>
    <t>Aadhya Gupta</t>
  </si>
  <si>
    <t>STU1352</t>
  </si>
  <si>
    <t>STU1353</t>
  </si>
  <si>
    <t>STU1354</t>
  </si>
  <si>
    <t>STU1355</t>
  </si>
  <si>
    <t>STU1356</t>
  </si>
  <si>
    <t>STU1357</t>
  </si>
  <si>
    <t>STU1358</t>
  </si>
  <si>
    <t>STU1359</t>
  </si>
  <si>
    <t>Aadhya Iyer</t>
  </si>
  <si>
    <t>STU1360</t>
  </si>
  <si>
    <t>STU1361</t>
  </si>
  <si>
    <t>STU1362</t>
  </si>
  <si>
    <t>Saanvi Patel</t>
  </si>
  <si>
    <t>STU1363</t>
  </si>
  <si>
    <t>STU1364</t>
  </si>
  <si>
    <t>STU1365</t>
  </si>
  <si>
    <t>STU1366</t>
  </si>
  <si>
    <t>Sai Patel</t>
  </si>
  <si>
    <t>STU1367</t>
  </si>
  <si>
    <t>STU1368</t>
  </si>
  <si>
    <t>Arjun Reddy</t>
  </si>
  <si>
    <t>STU1369</t>
  </si>
  <si>
    <t>STU1370</t>
  </si>
  <si>
    <t>STU1371</t>
  </si>
  <si>
    <t>STU1372</t>
  </si>
  <si>
    <t>STU1373</t>
  </si>
  <si>
    <t>STU1374</t>
  </si>
  <si>
    <t>Reyansh Verma</t>
  </si>
  <si>
    <t>STU1375</t>
  </si>
  <si>
    <t>Riya Nair</t>
  </si>
  <si>
    <t>STU1376</t>
  </si>
  <si>
    <t>STU1377</t>
  </si>
  <si>
    <t>STU1378</t>
  </si>
  <si>
    <t>STU1379</t>
  </si>
  <si>
    <t>STU1380</t>
  </si>
  <si>
    <t>STU1381</t>
  </si>
  <si>
    <t>STU1382</t>
  </si>
  <si>
    <t>STU1383</t>
  </si>
  <si>
    <t>STU1384</t>
  </si>
  <si>
    <t>STU1385</t>
  </si>
  <si>
    <t>STU1386</t>
  </si>
  <si>
    <t>STU1387</t>
  </si>
  <si>
    <t>STU1388</t>
  </si>
  <si>
    <t>STU1389</t>
  </si>
  <si>
    <t>STU1390</t>
  </si>
  <si>
    <t>STU1391</t>
  </si>
  <si>
    <t>STU1392</t>
  </si>
  <si>
    <t>STU1393</t>
  </si>
  <si>
    <t>STU1394</t>
  </si>
  <si>
    <t>STU1395</t>
  </si>
  <si>
    <t>STU1396</t>
  </si>
  <si>
    <t>STU1397</t>
  </si>
  <si>
    <t>STU1398</t>
  </si>
  <si>
    <t>STU1399</t>
  </si>
  <si>
    <t>Sai Gupta</t>
  </si>
  <si>
    <t>STU1400</t>
  </si>
  <si>
    <t>STU1401</t>
  </si>
  <si>
    <t>Ananya Reddy</t>
  </si>
  <si>
    <t>STU1402</t>
  </si>
  <si>
    <t>STU1403</t>
  </si>
  <si>
    <t>STU1404</t>
  </si>
  <si>
    <t>Ishaan Sharma</t>
  </si>
  <si>
    <t>STU1405</t>
  </si>
  <si>
    <t>STU1406</t>
  </si>
  <si>
    <t>Ananya Mehta</t>
  </si>
  <si>
    <t>STU1407</t>
  </si>
  <si>
    <t>STU1408</t>
  </si>
  <si>
    <t>STU1409</t>
  </si>
  <si>
    <t>STU1410</t>
  </si>
  <si>
    <t>STU1411</t>
  </si>
  <si>
    <t>Sai Iyer</t>
  </si>
  <si>
    <t>STU1412</t>
  </si>
  <si>
    <t>STU1413</t>
  </si>
  <si>
    <t>STU1414</t>
  </si>
  <si>
    <t>STU1415</t>
  </si>
  <si>
    <t>STU1416</t>
  </si>
  <si>
    <t>STU1417</t>
  </si>
  <si>
    <t>STU1418</t>
  </si>
  <si>
    <t>STU1419</t>
  </si>
  <si>
    <t>STU1420</t>
  </si>
  <si>
    <t>STU1421</t>
  </si>
  <si>
    <t>Ananya Gupta</t>
  </si>
  <si>
    <t>STU1422</t>
  </si>
  <si>
    <t>STU1423</t>
  </si>
  <si>
    <t>Vihaan Kumar</t>
  </si>
  <si>
    <t>STU1424</t>
  </si>
  <si>
    <t>Aarav Kumar</t>
  </si>
  <si>
    <t>STU1425</t>
  </si>
  <si>
    <t>STU1426</t>
  </si>
  <si>
    <t>STU1427</t>
  </si>
  <si>
    <t>STU1428</t>
  </si>
  <si>
    <t>STU1429</t>
  </si>
  <si>
    <t>STU1430</t>
  </si>
  <si>
    <t>STU1431</t>
  </si>
  <si>
    <t>Arjun Mehta</t>
  </si>
  <si>
    <t>STU1432</t>
  </si>
  <si>
    <t>STU1433</t>
  </si>
  <si>
    <t>STU1434</t>
  </si>
  <si>
    <t>STU1435</t>
  </si>
  <si>
    <t>STU1436</t>
  </si>
  <si>
    <t>Rohan Reddy</t>
  </si>
  <si>
    <t>STU1437</t>
  </si>
  <si>
    <t>STU1438</t>
  </si>
  <si>
    <t>STU1439</t>
  </si>
  <si>
    <t>STU1440</t>
  </si>
  <si>
    <t>STU1441</t>
  </si>
  <si>
    <t>STU1442</t>
  </si>
  <si>
    <t>STU1443</t>
  </si>
  <si>
    <t>STU1444</t>
  </si>
  <si>
    <t>STU1445</t>
  </si>
  <si>
    <t>STU1446</t>
  </si>
  <si>
    <t>STU1447</t>
  </si>
  <si>
    <t>STU1448</t>
  </si>
  <si>
    <t>STU1449</t>
  </si>
  <si>
    <t>STU1450</t>
  </si>
  <si>
    <t>STU1451</t>
  </si>
  <si>
    <t>STU1452</t>
  </si>
  <si>
    <t>Aadhya Patel</t>
  </si>
  <si>
    <t>STU1453</t>
  </si>
  <si>
    <t>STU1454</t>
  </si>
  <si>
    <t>STU1455</t>
  </si>
  <si>
    <t>STU1456</t>
  </si>
  <si>
    <t>STU1457</t>
  </si>
  <si>
    <t>STU1458</t>
  </si>
  <si>
    <t>STU1459</t>
  </si>
  <si>
    <t>STU1460</t>
  </si>
  <si>
    <t>STU1461</t>
  </si>
  <si>
    <t>STU1462</t>
  </si>
  <si>
    <t>STU1463</t>
  </si>
  <si>
    <t>Vivaan Mehta</t>
  </si>
  <si>
    <t>STU1464</t>
  </si>
  <si>
    <t>STU1465</t>
  </si>
  <si>
    <t>STU1466</t>
  </si>
  <si>
    <t>STU1467</t>
  </si>
  <si>
    <t>STU1468</t>
  </si>
  <si>
    <t>STU1469</t>
  </si>
  <si>
    <t>STU1470</t>
  </si>
  <si>
    <t>STU1471</t>
  </si>
  <si>
    <t>STU1472</t>
  </si>
  <si>
    <t>STU1473</t>
  </si>
  <si>
    <t>STU1474</t>
  </si>
  <si>
    <t>STU1475</t>
  </si>
  <si>
    <t>STU1476</t>
  </si>
  <si>
    <t>STU1477</t>
  </si>
  <si>
    <t>STU1478</t>
  </si>
  <si>
    <t>STU1479</t>
  </si>
  <si>
    <t>STU1480</t>
  </si>
  <si>
    <t>STU1481</t>
  </si>
  <si>
    <t>STU1482</t>
  </si>
  <si>
    <t>STU1483</t>
  </si>
  <si>
    <t>STU1484</t>
  </si>
  <si>
    <t>STU1485</t>
  </si>
  <si>
    <t>Sneha Verma</t>
  </si>
  <si>
    <t>STU1486</t>
  </si>
  <si>
    <t>STU1487</t>
  </si>
  <si>
    <t>STU1488</t>
  </si>
  <si>
    <t>STU1489</t>
  </si>
  <si>
    <t>STU1490</t>
  </si>
  <si>
    <t>STU1491</t>
  </si>
  <si>
    <t>STU1492</t>
  </si>
  <si>
    <t>STU1493</t>
  </si>
  <si>
    <t>STU1494</t>
  </si>
  <si>
    <t>STU1495</t>
  </si>
  <si>
    <t>Pooja Sharma</t>
  </si>
  <si>
    <t>STU1496</t>
  </si>
  <si>
    <t>STU1497</t>
  </si>
  <si>
    <t>STU1498</t>
  </si>
  <si>
    <t>STU1499</t>
  </si>
  <si>
    <t>STU1500</t>
  </si>
  <si>
    <t>STU1501</t>
  </si>
  <si>
    <t>STU1502</t>
  </si>
  <si>
    <t>STU1503</t>
  </si>
  <si>
    <t>STU1504</t>
  </si>
  <si>
    <t>STU1505</t>
  </si>
  <si>
    <t>STU1506</t>
  </si>
  <si>
    <t>Ananya Rao</t>
  </si>
  <si>
    <t>STU1507</t>
  </si>
  <si>
    <t>STU1508</t>
  </si>
  <si>
    <t>STU1509</t>
  </si>
  <si>
    <t>STU1510</t>
  </si>
  <si>
    <t>STU1511</t>
  </si>
  <si>
    <t>STU1512</t>
  </si>
  <si>
    <t>STU1513</t>
  </si>
  <si>
    <t>STU1514</t>
  </si>
  <si>
    <t>STU1515</t>
  </si>
  <si>
    <t>STU1516</t>
  </si>
  <si>
    <t>STU1517</t>
  </si>
  <si>
    <t>STU1518</t>
  </si>
  <si>
    <t>STU1519</t>
  </si>
  <si>
    <t>STU1520</t>
  </si>
  <si>
    <t>STU1521</t>
  </si>
  <si>
    <t>STU1522</t>
  </si>
  <si>
    <t>STU1523</t>
  </si>
  <si>
    <t>STU1524</t>
  </si>
  <si>
    <t>STU1525</t>
  </si>
  <si>
    <t>STU1526</t>
  </si>
  <si>
    <t>STU1527</t>
  </si>
  <si>
    <t>STU1528</t>
  </si>
  <si>
    <t>STU1529</t>
  </si>
  <si>
    <t>STU1530</t>
  </si>
  <si>
    <t>STU1531</t>
  </si>
  <si>
    <t>STU1532</t>
  </si>
  <si>
    <t>STU1533</t>
  </si>
  <si>
    <t>STU1534</t>
  </si>
  <si>
    <t>STU1535</t>
  </si>
  <si>
    <t>STU1536</t>
  </si>
  <si>
    <t>STU1537</t>
  </si>
  <si>
    <t>STU1538</t>
  </si>
  <si>
    <t>STU1539</t>
  </si>
  <si>
    <t>STU1540</t>
  </si>
  <si>
    <t>STU1541</t>
  </si>
  <si>
    <t>STU1542</t>
  </si>
  <si>
    <t>STU1543</t>
  </si>
  <si>
    <t>Pooja Nair</t>
  </si>
  <si>
    <t>STU1544</t>
  </si>
  <si>
    <t>STU1545</t>
  </si>
  <si>
    <t>STU1546</t>
  </si>
  <si>
    <t>STU1547</t>
  </si>
  <si>
    <t>STU1548</t>
  </si>
  <si>
    <t>STU1549</t>
  </si>
  <si>
    <t>STU1550</t>
  </si>
  <si>
    <t>STU1551</t>
  </si>
  <si>
    <t>STU1552</t>
  </si>
  <si>
    <t>STU1553</t>
  </si>
  <si>
    <t>STU1554</t>
  </si>
  <si>
    <t>STU1555</t>
  </si>
  <si>
    <t>STU1556</t>
  </si>
  <si>
    <t>STU1557</t>
  </si>
  <si>
    <t>STU1558</t>
  </si>
  <si>
    <t>STU1559</t>
  </si>
  <si>
    <t>STU1560</t>
  </si>
  <si>
    <t>STU1561</t>
  </si>
  <si>
    <t>STU1562</t>
  </si>
  <si>
    <t>STU1563</t>
  </si>
  <si>
    <t>Krishna Mehta</t>
  </si>
  <si>
    <t>STU1564</t>
  </si>
  <si>
    <t>STU1565</t>
  </si>
  <si>
    <t>STU1566</t>
  </si>
  <si>
    <t>STU1567</t>
  </si>
  <si>
    <t>STU1568</t>
  </si>
  <si>
    <t>STU1569</t>
  </si>
  <si>
    <t>STU1570</t>
  </si>
  <si>
    <t>STU1571</t>
  </si>
  <si>
    <t>STU1572</t>
  </si>
  <si>
    <t>STU1573</t>
  </si>
  <si>
    <t>STU1574</t>
  </si>
  <si>
    <t>STU1575</t>
  </si>
  <si>
    <t>STU1576</t>
  </si>
  <si>
    <t>STU1577</t>
  </si>
  <si>
    <t>STU1578</t>
  </si>
  <si>
    <t>STU1579</t>
  </si>
  <si>
    <t>STU1580</t>
  </si>
  <si>
    <t>STU1581</t>
  </si>
  <si>
    <t>STU1582</t>
  </si>
  <si>
    <t>STU1583</t>
  </si>
  <si>
    <t>STU1584</t>
  </si>
  <si>
    <t>STU1585</t>
  </si>
  <si>
    <t>STU1586</t>
  </si>
  <si>
    <t>STU1587</t>
  </si>
  <si>
    <t>STU1588</t>
  </si>
  <si>
    <t>STU1589</t>
  </si>
  <si>
    <t>STU1590</t>
  </si>
  <si>
    <t>STU1591</t>
  </si>
  <si>
    <t>STU1592</t>
  </si>
  <si>
    <t>STU1593</t>
  </si>
  <si>
    <t>STU1594</t>
  </si>
  <si>
    <t>STU1595</t>
  </si>
  <si>
    <t>STU1596</t>
  </si>
  <si>
    <t>STU1597</t>
  </si>
  <si>
    <t>STU1598</t>
  </si>
  <si>
    <t>STU1599</t>
  </si>
  <si>
    <t>STU1600</t>
  </si>
  <si>
    <t>Total students</t>
  </si>
  <si>
    <t xml:space="preserve"> Overall pass percentage</t>
  </si>
  <si>
    <t>Row Labels</t>
  </si>
  <si>
    <t>Grand Total</t>
  </si>
  <si>
    <t>Count of Student ID</t>
  </si>
  <si>
    <t>Sum of Average score</t>
  </si>
  <si>
    <t>Average of Average score</t>
  </si>
  <si>
    <t>Count of Pass/Fail</t>
  </si>
  <si>
    <t>Column Labels</t>
  </si>
  <si>
    <t>Fail</t>
  </si>
  <si>
    <t>High Risk</t>
  </si>
  <si>
    <t>Monitor</t>
  </si>
  <si>
    <t>Stable</t>
  </si>
  <si>
    <t>need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</si>
</sst>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alibri"/>
      <family val="2"/>
      <scheme val="minor"/>
    </font>
    <font>
      <b/>
      <sz val="11"/>
      <color theme="1"/>
      <name val="Calibri"/>
      <family val="2"/>
      <scheme val="minor"/>
    </font>
    <font>
      <b/>
      <sz val="14"/>
      <color rgb="FF0070C0"/>
      <name val="Calibri"/>
      <family val="2"/>
      <scheme val="minor"/>
    </font>
    <font>
      <b/>
      <sz val="14"/>
      <color rgb="FF00BFFF"/>
      <name val="Calibri"/>
      <family val="2"/>
      <scheme val="minor"/>
    </font>
    <font>
      <sz val="11"/>
      <color rgb="FF00BFFF"/>
      <name val="Calibri"/>
      <family val="2"/>
      <scheme val="minor"/>
    </font>
    <font>
      <b/>
      <sz val="12"/>
      <color theme="1"/>
      <name val="Calibri"/>
      <family val="2"/>
      <scheme val="minor"/>
    </font>
    <font>
      <sz val="14"/>
      <color rgb="FF00BFFF"/>
      <name val="Calibri"/>
      <family val="2"/>
      <scheme val="minor"/>
    </font>
    <font>
      <b/>
      <sz val="18"/>
      <color rgb="FF00BFFF"/>
      <name val="Calibri"/>
      <family val="2"/>
      <scheme val="minor"/>
    </font>
    <font>
      <b/>
      <sz val="20"/>
      <color rgb="FF00BFFF"/>
      <name val="Calibri"/>
      <family val="2"/>
      <scheme val="minor"/>
    </font>
  </fonts>
  <fills count="4">
    <fill>
      <patternFill patternType="none"/>
    </fill>
    <fill>
      <patternFill patternType="gray125"/>
    </fill>
    <fill>
      <patternFill patternType="solid">
        <fgColor rgb="FF2B2B2B"/>
        <bgColor indexed="64"/>
      </patternFill>
    </fill>
    <fill>
      <patternFill patternType="solid">
        <fgColor theme="1"/>
        <bgColor indexed="64"/>
      </patternFill>
    </fill>
  </fills>
  <borders count="5">
    <border>
      <left/>
      <right/>
      <top/>
      <bottom/>
      <diagonal/>
    </border>
    <border>
      <left style="thin">
        <color theme="4"/>
      </left>
      <right style="thin">
        <color theme="4"/>
      </right>
      <top style="thin">
        <color theme="4"/>
      </top>
      <bottom style="thin">
        <color theme="4"/>
      </bottom>
      <diagonal/>
    </border>
    <border>
      <left style="thin">
        <color theme="4"/>
      </left>
      <right style="thin">
        <color theme="4"/>
      </right>
      <top style="medium">
        <color theme="4"/>
      </top>
      <bottom style="thin">
        <color theme="4"/>
      </bottom>
      <diagonal/>
    </border>
    <border>
      <left style="thin">
        <color theme="4"/>
      </left>
      <right/>
      <top style="medium">
        <color theme="4"/>
      </top>
      <bottom/>
      <diagonal/>
    </border>
    <border>
      <left style="medium">
        <color theme="4"/>
      </left>
      <right style="medium">
        <color theme="4"/>
      </right>
      <top style="medium">
        <color theme="4"/>
      </top>
      <bottom style="medium">
        <color theme="4"/>
      </bottom>
      <diagonal/>
    </border>
  </borders>
  <cellStyleXfs count="1">
    <xf numFmtId="0" fontId="0" fillId="0" borderId="0"/>
  </cellStyleXfs>
  <cellXfs count="21">
    <xf numFmtId="0" fontId="0" fillId="0" borderId="0" xfId="0"/>
    <xf numFmtId="2" fontId="0" fillId="0" borderId="0" xfId="0" applyNumberFormat="1" applyAlignment="1">
      <alignment horizontal="center"/>
    </xf>
    <xf numFmtId="0" fontId="0" fillId="0" borderId="0" xfId="0" applyAlignment="1">
      <alignment horizontal="center"/>
    </xf>
    <xf numFmtId="0" fontId="1" fillId="0" borderId="0" xfId="0" applyFont="1" applyAlignment="1">
      <alignment horizontal="center"/>
    </xf>
    <xf numFmtId="0" fontId="0" fillId="2" borderId="0" xfId="0" applyFill="1"/>
    <xf numFmtId="0" fontId="0" fillId="3" borderId="0" xfId="0" applyFill="1"/>
    <xf numFmtId="0" fontId="2" fillId="3" borderId="0" xfId="0" applyFont="1" applyFill="1"/>
    <xf numFmtId="0" fontId="0" fillId="3" borderId="3" xfId="0" applyFill="1" applyBorder="1"/>
    <xf numFmtId="0" fontId="4" fillId="3" borderId="0" xfId="0" applyFont="1" applyFill="1"/>
    <xf numFmtId="0" fontId="5" fillId="3" borderId="0" xfId="0" applyFont="1" applyFill="1"/>
    <xf numFmtId="0" fontId="6" fillId="3" borderId="4" xfId="0" applyFont="1" applyFill="1" applyBorder="1"/>
    <xf numFmtId="2" fontId="6" fillId="3" borderId="4" xfId="0" applyNumberFormat="1" applyFont="1" applyFill="1" applyBorder="1"/>
    <xf numFmtId="0" fontId="3" fillId="3" borderId="4" xfId="0" applyFont="1" applyFill="1" applyBorder="1"/>
    <xf numFmtId="10" fontId="6" fillId="3" borderId="4" xfId="0" applyNumberFormat="1" applyFont="1" applyFill="1" applyBorder="1"/>
    <xf numFmtId="0" fontId="3" fillId="3" borderId="4" xfId="0" applyFont="1" applyFill="1" applyBorder="1" applyAlignment="1">
      <alignment horizontal="left"/>
    </xf>
    <xf numFmtId="2" fontId="3" fillId="3" borderId="4" xfId="0" applyNumberFormat="1" applyFont="1" applyFill="1" applyBorder="1"/>
    <xf numFmtId="0" fontId="7" fillId="3" borderId="2" xfId="0" applyFont="1" applyFill="1" applyBorder="1"/>
    <xf numFmtId="0" fontId="7" fillId="3" borderId="1" xfId="0" applyFont="1" applyFill="1" applyBorder="1"/>
    <xf numFmtId="0" fontId="7" fillId="3" borderId="1" xfId="0" applyFont="1" applyFill="1" applyBorder="1" applyAlignment="1">
      <alignment horizontal="left"/>
    </xf>
    <xf numFmtId="0" fontId="8" fillId="3" borderId="1" xfId="0" applyFont="1" applyFill="1" applyBorder="1"/>
    <xf numFmtId="0" fontId="8" fillId="3" borderId="1" xfId="0" applyFont="1" applyFill="1" applyBorder="1" applyAlignment="1">
      <alignment horizontal="left"/>
    </xf>
  </cellXfs>
  <cellStyles count="1">
    <cellStyle name="Normal" xfId="0" builtinId="0"/>
  </cellStyles>
  <dxfs count="346">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font>
    </dxf>
    <dxf>
      <font>
        <b/>
      </font>
    </dxf>
    <dxf>
      <font>
        <b/>
      </font>
    </dxf>
    <dxf>
      <font>
        <b/>
      </font>
    </dxf>
    <dxf>
      <font>
        <b/>
      </font>
    </dxf>
    <dxf>
      <font>
        <b/>
      </font>
    </dxf>
    <dxf>
      <font>
        <sz val="14"/>
      </font>
    </dxf>
    <dxf>
      <font>
        <sz val="14"/>
      </font>
    </dxf>
    <dxf>
      <font>
        <sz val="14"/>
      </font>
    </dxf>
    <dxf>
      <font>
        <sz val="14"/>
      </font>
    </dxf>
    <dxf>
      <font>
        <sz val="14"/>
      </font>
    </dxf>
    <dxf>
      <font>
        <sz val="14"/>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border>
        <left style="medium">
          <color theme="4"/>
        </left>
        <right style="medium">
          <color theme="4"/>
        </right>
        <top style="medium">
          <color theme="4"/>
        </top>
        <bottom style="medium">
          <color theme="4"/>
        </bottom>
        <vertical style="medium">
          <color theme="4"/>
        </vertical>
        <horizontal style="medium">
          <color theme="4"/>
        </horizontal>
      </border>
    </dxf>
    <dxf>
      <border>
        <left style="medium">
          <color theme="4"/>
        </left>
        <right style="medium">
          <color theme="4"/>
        </right>
        <top style="medium">
          <color theme="4"/>
        </top>
        <bottom style="medium">
          <color theme="4"/>
        </bottom>
        <vertical style="medium">
          <color theme="4"/>
        </vertical>
        <horizontal style="medium">
          <color theme="4"/>
        </horizontal>
      </border>
    </dxf>
    <dxf>
      <border>
        <left style="medium">
          <color theme="4"/>
        </left>
        <right style="medium">
          <color theme="4"/>
        </right>
        <top style="medium">
          <color theme="4"/>
        </top>
        <bottom style="medium">
          <color theme="4"/>
        </bottom>
        <vertical style="medium">
          <color theme="4"/>
        </vertical>
        <horizontal style="medium">
          <color theme="4"/>
        </horizontal>
      </border>
    </dxf>
    <dxf>
      <border>
        <left style="medium">
          <color theme="4"/>
        </left>
        <right style="medium">
          <color theme="4"/>
        </right>
        <top style="medium">
          <color theme="4"/>
        </top>
        <bottom style="medium">
          <color theme="4"/>
        </bottom>
        <vertical style="medium">
          <color theme="4"/>
        </vertical>
        <horizontal style="medium">
          <color theme="4"/>
        </horizontal>
      </border>
    </dxf>
    <dxf>
      <border>
        <left style="medium">
          <color theme="4"/>
        </left>
        <right style="medium">
          <color theme="4"/>
        </right>
        <top style="medium">
          <color theme="4"/>
        </top>
        <bottom style="medium">
          <color theme="4"/>
        </bottom>
        <vertical style="medium">
          <color theme="4"/>
        </vertical>
        <horizontal style="medium">
          <color theme="4"/>
        </horizontal>
      </border>
    </dxf>
    <dxf>
      <border>
        <left style="medium">
          <color theme="4"/>
        </left>
        <right style="medium">
          <color theme="4"/>
        </right>
        <top style="medium">
          <color theme="4"/>
        </top>
        <bottom style="medium">
          <color theme="4"/>
        </bottom>
        <vertical style="medium">
          <color theme="4"/>
        </vertical>
        <horizontal style="medium">
          <color theme="4"/>
        </horizontal>
      </border>
    </dxf>
    <dxf>
      <font>
        <color rgb="FF00BFFF"/>
      </font>
    </dxf>
    <dxf>
      <font>
        <color rgb="FF00BFFF"/>
      </font>
    </dxf>
    <dxf>
      <font>
        <color rgb="FF00BFFF"/>
      </font>
    </dxf>
    <dxf>
      <font>
        <color rgb="FF00BFFF"/>
      </font>
    </dxf>
    <dxf>
      <font>
        <color rgb="FF00BFFF"/>
      </font>
    </dxf>
    <dxf>
      <font>
        <color rgb="FF00BFFF"/>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border>
        <left style="medium">
          <color theme="4"/>
        </left>
        <right style="medium">
          <color theme="4"/>
        </right>
        <top style="medium">
          <color theme="4"/>
        </top>
        <bottom style="medium">
          <color theme="4"/>
        </bottom>
        <vertical style="medium">
          <color theme="4"/>
        </vertical>
        <horizontal style="medium">
          <color theme="4"/>
        </horizontal>
      </border>
    </dxf>
    <dxf>
      <border>
        <left style="medium">
          <color theme="4"/>
        </left>
        <right style="medium">
          <color theme="4"/>
        </right>
        <top style="medium">
          <color theme="4"/>
        </top>
        <bottom style="medium">
          <color theme="4"/>
        </bottom>
        <vertical style="medium">
          <color theme="4"/>
        </vertical>
        <horizontal style="medium">
          <color theme="4"/>
        </horizontal>
      </border>
    </dxf>
    <dxf>
      <border>
        <left style="medium">
          <color theme="4"/>
        </left>
        <right style="medium">
          <color theme="4"/>
        </right>
        <top style="medium">
          <color theme="4"/>
        </top>
        <bottom style="medium">
          <color theme="4"/>
        </bottom>
        <vertical style="medium">
          <color theme="4"/>
        </vertical>
        <horizontal style="medium">
          <color theme="4"/>
        </horizontal>
      </border>
    </dxf>
    <dxf>
      <border>
        <left style="medium">
          <color theme="4"/>
        </left>
        <right style="medium">
          <color theme="4"/>
        </right>
        <top style="medium">
          <color theme="4"/>
        </top>
        <bottom style="medium">
          <color theme="4"/>
        </bottom>
        <vertical style="medium">
          <color theme="4"/>
        </vertical>
        <horizontal style="medium">
          <color theme="4"/>
        </horizontal>
      </border>
    </dxf>
    <dxf>
      <border>
        <left style="medium">
          <color theme="4"/>
        </left>
        <right style="medium">
          <color theme="4"/>
        </right>
        <top style="medium">
          <color theme="4"/>
        </top>
        <bottom style="medium">
          <color theme="4"/>
        </bottom>
        <vertical style="medium">
          <color theme="4"/>
        </vertical>
        <horizontal style="medium">
          <color theme="4"/>
        </horizontal>
      </border>
    </dxf>
    <dxf>
      <border>
        <left style="medium">
          <color theme="4"/>
        </left>
        <right style="medium">
          <color theme="4"/>
        </right>
        <top style="medium">
          <color theme="4"/>
        </top>
        <bottom style="medium">
          <color theme="4"/>
        </bottom>
        <vertical style="medium">
          <color theme="4"/>
        </vertical>
        <horizontal style="medium">
          <color theme="4"/>
        </horizontal>
      </border>
    </dxf>
    <dxf>
      <font>
        <color rgb="FF00BFFF"/>
      </font>
    </dxf>
    <dxf>
      <font>
        <color rgb="FF00BFFF"/>
      </font>
    </dxf>
    <dxf>
      <font>
        <color rgb="FF00BFFF"/>
      </font>
    </dxf>
    <dxf>
      <font>
        <color rgb="FF00BFFF"/>
      </font>
    </dxf>
    <dxf>
      <font>
        <color rgb="FF00BFFF"/>
      </font>
    </dxf>
    <dxf>
      <font>
        <color rgb="FF00BFFF"/>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border>
        <left style="medium">
          <color theme="4"/>
        </left>
        <right style="medium">
          <color theme="4"/>
        </right>
        <top style="medium">
          <color theme="4"/>
        </top>
        <bottom style="medium">
          <color theme="4"/>
        </bottom>
        <vertical style="medium">
          <color theme="4"/>
        </vertical>
        <horizontal style="medium">
          <color theme="4"/>
        </horizontal>
      </border>
    </dxf>
    <dxf>
      <border>
        <left style="medium">
          <color theme="4"/>
        </left>
        <right style="medium">
          <color theme="4"/>
        </right>
        <top style="medium">
          <color theme="4"/>
        </top>
        <bottom style="medium">
          <color theme="4"/>
        </bottom>
        <vertical style="medium">
          <color theme="4"/>
        </vertical>
        <horizontal style="medium">
          <color theme="4"/>
        </horizontal>
      </border>
    </dxf>
    <dxf>
      <border>
        <left style="medium">
          <color theme="4"/>
        </left>
        <right style="medium">
          <color theme="4"/>
        </right>
        <top style="medium">
          <color theme="4"/>
        </top>
        <bottom style="medium">
          <color theme="4"/>
        </bottom>
        <vertical style="medium">
          <color theme="4"/>
        </vertical>
        <horizontal style="medium">
          <color theme="4"/>
        </horizontal>
      </border>
    </dxf>
    <dxf>
      <border>
        <left style="medium">
          <color theme="4"/>
        </left>
        <right style="medium">
          <color theme="4"/>
        </right>
        <top style="medium">
          <color theme="4"/>
        </top>
        <bottom style="medium">
          <color theme="4"/>
        </bottom>
        <vertical style="medium">
          <color theme="4"/>
        </vertical>
        <horizontal style="medium">
          <color theme="4"/>
        </horizontal>
      </border>
    </dxf>
    <dxf>
      <border>
        <left style="medium">
          <color theme="4"/>
        </left>
        <right style="medium">
          <color theme="4"/>
        </right>
        <top style="medium">
          <color theme="4"/>
        </top>
        <bottom style="medium">
          <color theme="4"/>
        </bottom>
        <vertical style="medium">
          <color theme="4"/>
        </vertical>
        <horizontal style="medium">
          <color theme="4"/>
        </horizontal>
      </border>
    </dxf>
    <dxf>
      <border>
        <left style="medium">
          <color theme="4"/>
        </left>
        <right style="medium">
          <color theme="4"/>
        </right>
        <top style="medium">
          <color theme="4"/>
        </top>
        <bottom style="medium">
          <color theme="4"/>
        </bottom>
        <vertical style="medium">
          <color theme="4"/>
        </vertical>
        <horizontal style="medium">
          <color theme="4"/>
        </horizontal>
      </border>
    </dxf>
    <dxf>
      <font>
        <color rgb="FF00BFFF"/>
      </font>
    </dxf>
    <dxf>
      <font>
        <color rgb="FF00BFFF"/>
      </font>
    </dxf>
    <dxf>
      <font>
        <color rgb="FF00BFFF"/>
      </font>
    </dxf>
    <dxf>
      <font>
        <color rgb="FF00BFFF"/>
      </font>
    </dxf>
    <dxf>
      <font>
        <color rgb="FF00BFFF"/>
      </font>
    </dxf>
    <dxf>
      <font>
        <color rgb="FF00BFFF"/>
      </font>
    </dxf>
    <dxf>
      <font>
        <b/>
      </font>
    </dxf>
    <dxf>
      <font>
        <b/>
      </font>
    </dxf>
    <dxf>
      <font>
        <b/>
      </font>
    </dxf>
    <dxf>
      <font>
        <b/>
      </font>
    </dxf>
    <dxf>
      <font>
        <b/>
      </font>
    </dxf>
    <dxf>
      <font>
        <b/>
      </font>
    </dxf>
    <dxf>
      <font>
        <b/>
      </font>
    </dxf>
    <dxf>
      <font>
        <b/>
      </font>
    </dxf>
    <dxf>
      <font>
        <b/>
      </font>
    </dxf>
    <dxf>
      <font>
        <b/>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border>
        <left style="medium">
          <color theme="4"/>
        </left>
        <right style="medium">
          <color theme="4"/>
        </right>
        <top style="medium">
          <color theme="4"/>
        </top>
        <bottom style="medium">
          <color theme="4"/>
        </bottom>
        <vertical style="medium">
          <color theme="4"/>
        </vertical>
        <horizontal style="medium">
          <color theme="4"/>
        </horizontal>
      </border>
    </dxf>
    <dxf>
      <border>
        <left style="medium">
          <color theme="4"/>
        </left>
        <right style="medium">
          <color theme="4"/>
        </right>
        <top style="medium">
          <color theme="4"/>
        </top>
        <bottom style="medium">
          <color theme="4"/>
        </bottom>
        <vertical style="medium">
          <color theme="4"/>
        </vertical>
        <horizontal style="medium">
          <color theme="4"/>
        </horizontal>
      </border>
    </dxf>
    <dxf>
      <border>
        <left style="medium">
          <color theme="4"/>
        </left>
        <right style="medium">
          <color theme="4"/>
        </right>
        <top style="medium">
          <color theme="4"/>
        </top>
        <bottom style="medium">
          <color theme="4"/>
        </bottom>
        <vertical style="medium">
          <color theme="4"/>
        </vertical>
        <horizontal style="medium">
          <color theme="4"/>
        </horizontal>
      </border>
    </dxf>
    <dxf>
      <border>
        <left style="medium">
          <color theme="4"/>
        </left>
        <right style="medium">
          <color theme="4"/>
        </right>
        <top style="medium">
          <color theme="4"/>
        </top>
        <bottom style="medium">
          <color theme="4"/>
        </bottom>
        <vertical style="medium">
          <color theme="4"/>
        </vertical>
        <horizontal style="medium">
          <color theme="4"/>
        </horizontal>
      </border>
    </dxf>
    <dxf>
      <border>
        <left style="medium">
          <color theme="4"/>
        </left>
        <right style="medium">
          <color theme="4"/>
        </right>
        <top style="medium">
          <color theme="4"/>
        </top>
        <bottom style="medium">
          <color theme="4"/>
        </bottom>
        <vertical style="medium">
          <color theme="4"/>
        </vertical>
        <horizontal style="medium">
          <color theme="4"/>
        </horizontal>
      </border>
    </dxf>
    <dxf>
      <border>
        <left style="medium">
          <color theme="4"/>
        </left>
        <right style="medium">
          <color theme="4"/>
        </right>
        <top style="medium">
          <color theme="4"/>
        </top>
        <bottom style="medium">
          <color theme="4"/>
        </bottom>
        <vertical style="medium">
          <color theme="4"/>
        </vertical>
        <horizontal style="medium">
          <color theme="4"/>
        </horizontal>
      </border>
    </dxf>
    <dxf>
      <border>
        <left style="medium">
          <color theme="4"/>
        </left>
        <right style="medium">
          <color theme="4"/>
        </right>
        <top style="medium">
          <color theme="4"/>
        </top>
        <bottom style="medium">
          <color theme="4"/>
        </bottom>
        <vertical style="medium">
          <color theme="4"/>
        </vertical>
        <horizontal style="medium">
          <color theme="4"/>
        </horizontal>
      </border>
    </dxf>
    <dxf>
      <border>
        <left style="medium">
          <color theme="4"/>
        </left>
        <right style="medium">
          <color theme="4"/>
        </right>
        <top style="medium">
          <color theme="4"/>
        </top>
        <bottom style="medium">
          <color theme="4"/>
        </bottom>
        <vertical style="medium">
          <color theme="4"/>
        </vertical>
        <horizontal style="medium">
          <color theme="4"/>
        </horizontal>
      </border>
    </dxf>
    <dxf>
      <border>
        <left style="medium">
          <color theme="4"/>
        </left>
        <right style="medium">
          <color theme="4"/>
        </right>
        <top style="medium">
          <color theme="4"/>
        </top>
        <bottom style="medium">
          <color theme="4"/>
        </bottom>
        <vertical style="medium">
          <color theme="4"/>
        </vertical>
        <horizontal style="medium">
          <color theme="4"/>
        </horizontal>
      </border>
    </dxf>
    <dxf>
      <border>
        <left style="medium">
          <color theme="4"/>
        </left>
        <right style="medium">
          <color theme="4"/>
        </right>
        <top style="medium">
          <color theme="4"/>
        </top>
        <bottom style="medium">
          <color theme="4"/>
        </bottom>
        <vertical style="medium">
          <color theme="4"/>
        </vertical>
        <horizontal style="medium">
          <color theme="4"/>
        </horizontal>
      </border>
    </dxf>
    <dxf>
      <font>
        <color rgb="FF00BFFF"/>
      </font>
    </dxf>
    <dxf>
      <font>
        <color rgb="FF00BFFF"/>
      </font>
    </dxf>
    <dxf>
      <font>
        <color rgb="FF00BFFF"/>
      </font>
    </dxf>
    <dxf>
      <font>
        <color rgb="FF00BFFF"/>
      </font>
    </dxf>
    <dxf>
      <font>
        <color rgb="FF00BFFF"/>
      </font>
    </dxf>
    <dxf>
      <font>
        <color rgb="FF00BFFF"/>
      </font>
    </dxf>
    <dxf>
      <font>
        <color rgb="FF00BFFF"/>
      </font>
    </dxf>
    <dxf>
      <font>
        <color rgb="FF00BFFF"/>
      </font>
    </dxf>
    <dxf>
      <font>
        <color rgb="FF00BFFF"/>
      </font>
    </dxf>
    <dxf>
      <font>
        <color rgb="FF00BFFF"/>
      </font>
    </dxf>
    <dxf>
      <font>
        <b/>
      </font>
    </dxf>
    <dxf>
      <font>
        <b/>
      </font>
    </dxf>
    <dxf>
      <font>
        <b/>
      </font>
    </dxf>
    <dxf>
      <font>
        <b/>
      </font>
    </dxf>
    <dxf>
      <font>
        <b/>
      </font>
    </dxf>
    <dxf>
      <font>
        <b/>
      </font>
    </dxf>
    <dxf>
      <font>
        <sz val="14"/>
      </font>
    </dxf>
    <dxf>
      <font>
        <sz val="14"/>
      </font>
    </dxf>
    <dxf>
      <font>
        <sz val="14"/>
      </font>
    </dxf>
    <dxf>
      <font>
        <sz val="14"/>
      </font>
    </dxf>
    <dxf>
      <font>
        <sz val="14"/>
      </font>
    </dxf>
    <dxf>
      <font>
        <sz val="14"/>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border>
        <left style="medium">
          <color theme="4"/>
        </left>
        <right style="medium">
          <color theme="4"/>
        </right>
        <top style="medium">
          <color theme="4"/>
        </top>
        <bottom style="medium">
          <color theme="4"/>
        </bottom>
        <vertical style="medium">
          <color theme="4"/>
        </vertical>
        <horizontal style="medium">
          <color theme="4"/>
        </horizontal>
      </border>
    </dxf>
    <dxf>
      <border>
        <left style="medium">
          <color theme="4"/>
        </left>
        <right style="medium">
          <color theme="4"/>
        </right>
        <top style="medium">
          <color theme="4"/>
        </top>
        <bottom style="medium">
          <color theme="4"/>
        </bottom>
        <vertical style="medium">
          <color theme="4"/>
        </vertical>
        <horizontal style="medium">
          <color theme="4"/>
        </horizontal>
      </border>
    </dxf>
    <dxf>
      <border>
        <left style="medium">
          <color theme="4"/>
        </left>
        <right style="medium">
          <color theme="4"/>
        </right>
        <top style="medium">
          <color theme="4"/>
        </top>
        <bottom style="medium">
          <color theme="4"/>
        </bottom>
        <vertical style="medium">
          <color theme="4"/>
        </vertical>
        <horizontal style="medium">
          <color theme="4"/>
        </horizontal>
      </border>
    </dxf>
    <dxf>
      <border>
        <left style="medium">
          <color theme="4"/>
        </left>
        <right style="medium">
          <color theme="4"/>
        </right>
        <top style="medium">
          <color theme="4"/>
        </top>
        <bottom style="medium">
          <color theme="4"/>
        </bottom>
        <vertical style="medium">
          <color theme="4"/>
        </vertical>
        <horizontal style="medium">
          <color theme="4"/>
        </horizontal>
      </border>
    </dxf>
    <dxf>
      <border>
        <left style="medium">
          <color theme="4"/>
        </left>
        <right style="medium">
          <color theme="4"/>
        </right>
        <top style="medium">
          <color theme="4"/>
        </top>
        <bottom style="medium">
          <color theme="4"/>
        </bottom>
        <vertical style="medium">
          <color theme="4"/>
        </vertical>
        <horizontal style="medium">
          <color theme="4"/>
        </horizontal>
      </border>
    </dxf>
    <dxf>
      <border>
        <left style="medium">
          <color theme="4"/>
        </left>
        <right style="medium">
          <color theme="4"/>
        </right>
        <top style="medium">
          <color theme="4"/>
        </top>
        <bottom style="medium">
          <color theme="4"/>
        </bottom>
        <vertical style="medium">
          <color theme="4"/>
        </vertical>
        <horizontal style="medium">
          <color theme="4"/>
        </horizontal>
      </border>
    </dxf>
    <dxf>
      <font>
        <color rgb="FF00BFFF"/>
      </font>
    </dxf>
    <dxf>
      <font>
        <color rgb="FF00BFFF"/>
      </font>
    </dxf>
    <dxf>
      <font>
        <color rgb="FF00BFFF"/>
      </font>
    </dxf>
    <dxf>
      <font>
        <color rgb="FF00BFFF"/>
      </font>
    </dxf>
    <dxf>
      <font>
        <color rgb="FF00BFFF"/>
      </font>
    </dxf>
    <dxf>
      <font>
        <color rgb="FF00BFFF"/>
      </font>
    </dxf>
    <dxf>
      <font>
        <sz val="20"/>
      </font>
    </dxf>
    <dxf>
      <font>
        <sz val="20"/>
      </font>
    </dxf>
    <dxf>
      <font>
        <sz val="20"/>
      </font>
    </dxf>
    <dxf>
      <font>
        <sz val="20"/>
      </font>
    </dxf>
    <dxf>
      <font>
        <sz val="20"/>
      </font>
    </dxf>
    <dxf>
      <font>
        <sz val="20"/>
      </font>
    </dxf>
    <dxf>
      <font>
        <sz val="20"/>
      </font>
    </dxf>
    <dxf>
      <font>
        <sz val="20"/>
      </font>
    </dxf>
    <dxf>
      <font>
        <sz val="20"/>
      </font>
    </dxf>
    <dxf>
      <font>
        <sz val="2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rgb="FF00BFFF"/>
      </font>
    </dxf>
    <dxf>
      <font>
        <color rgb="FF00BFFF"/>
      </font>
    </dxf>
    <dxf>
      <font>
        <color rgb="FF00BFFF"/>
      </font>
    </dxf>
    <dxf>
      <font>
        <color rgb="FF00BFFF"/>
      </font>
    </dxf>
    <dxf>
      <font>
        <color rgb="FF00BFFF"/>
      </font>
    </dxf>
    <dxf>
      <font>
        <color rgb="FF00BFFF"/>
      </font>
    </dxf>
    <dxf>
      <font>
        <color rgb="FF00BFFF"/>
      </font>
    </dxf>
    <dxf>
      <font>
        <color rgb="FF00BFFF"/>
      </font>
    </dxf>
    <dxf>
      <font>
        <color rgb="FF00BFFF"/>
      </font>
    </dxf>
    <dxf>
      <font>
        <color rgb="FF00BFFF"/>
      </font>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font>
        <b/>
      </font>
    </dxf>
    <dxf>
      <font>
        <b/>
      </font>
    </dxf>
    <dxf>
      <font>
        <b/>
      </font>
    </dxf>
    <dxf>
      <font>
        <b/>
      </font>
    </dxf>
    <dxf>
      <font>
        <color rgb="FF0070C0"/>
      </font>
    </dxf>
    <dxf>
      <font>
        <color rgb="FF0070C0"/>
      </font>
    </dxf>
    <dxf>
      <font>
        <color rgb="FF0070C0"/>
      </font>
    </dxf>
    <dxf>
      <font>
        <color rgb="FF0070C0"/>
      </font>
    </dxf>
    <dxf>
      <font>
        <color rgb="FF0070C0"/>
      </font>
    </dxf>
    <dxf>
      <font>
        <color rgb="FF0070C0"/>
      </font>
    </dxf>
    <dxf>
      <font>
        <color rgb="FF0070C0"/>
      </font>
    </dxf>
    <dxf>
      <font>
        <color rgb="FF0070C0"/>
      </font>
    </dxf>
    <dxf>
      <font>
        <color rgb="FF0070C0"/>
      </font>
    </dxf>
    <dxf>
      <font>
        <color rgb="FF0070C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sz val="18"/>
      </font>
    </dxf>
    <dxf>
      <font>
        <sz val="18"/>
      </font>
    </dxf>
    <dxf>
      <font>
        <sz val="18"/>
      </font>
    </dxf>
    <dxf>
      <font>
        <sz val="18"/>
      </font>
    </dxf>
    <dxf>
      <font>
        <sz val="18"/>
      </font>
    </dxf>
    <dxf>
      <font>
        <sz val="18"/>
      </font>
    </dxf>
    <dxf>
      <font>
        <color rgb="FF00BFFF"/>
      </font>
    </dxf>
    <dxf>
      <font>
        <color rgb="FF00BFFF"/>
      </font>
    </dxf>
    <dxf>
      <font>
        <color rgb="FF00BFFF"/>
      </font>
    </dxf>
    <dxf>
      <font>
        <color rgb="FF00BFFF"/>
      </font>
    </dxf>
    <dxf>
      <font>
        <color rgb="FF00BFFF"/>
      </font>
    </dxf>
    <dxf>
      <font>
        <color rgb="FF00BFFF"/>
      </font>
    </dxf>
    <dxf>
      <border>
        <top style="medium">
          <color theme="4"/>
        </top>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border>
        <left style="thin">
          <color theme="4"/>
        </left>
        <right style="thin">
          <color theme="4"/>
        </right>
        <top style="thin">
          <color theme="4"/>
        </top>
        <bottom style="thin">
          <color theme="4"/>
        </bottom>
        <vertical style="thin">
          <color theme="4"/>
        </vertical>
        <horizontal style="thin">
          <color theme="4"/>
        </horizontal>
      </border>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font>
        <color rgb="FF0070C0"/>
      </font>
    </dxf>
    <dxf>
      <font>
        <color rgb="FF0070C0"/>
      </font>
    </dxf>
    <dxf>
      <font>
        <color rgb="FF0070C0"/>
      </font>
    </dxf>
    <dxf>
      <font>
        <color rgb="FF0070C0"/>
      </font>
    </dxf>
    <dxf>
      <font>
        <color rgb="FF0070C0"/>
      </font>
    </dxf>
    <dxf>
      <font>
        <color rgb="FF0070C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b/>
        <i val="0"/>
        <sz val="12"/>
        <color theme="1"/>
        <name val="Calibri Light"/>
        <family val="2"/>
        <scheme val="major"/>
      </font>
    </dxf>
    <dxf>
      <fill>
        <patternFill>
          <bgColor theme="6" tint="0.59996337778862885"/>
        </patternFill>
      </fill>
      <border diagonalUp="0" diagonalDown="0">
        <left/>
        <right/>
        <top/>
        <bottom/>
        <vertical/>
        <horizontal/>
      </border>
    </dxf>
  </dxfs>
  <tableStyles count="1" defaultTableStyle="TableStyleMedium2" defaultPivotStyle="PivotStyleLight16">
    <tableStyle name="Slicer Style 1" pivot="0" table="0" count="3" xr9:uid="{C9A0B8A8-C952-401A-915F-896806ED7C5F}">
      <tableStyleElement type="wholeTable" dxfId="345"/>
      <tableStyleElement type="headerRow" dxfId="344"/>
    </tableStyle>
  </tableStyles>
  <colors>
    <mruColors>
      <color rgb="FF00BFFF"/>
      <color rgb="FF4A90E2"/>
      <color rgb="FF688988"/>
      <color rgb="FF589098"/>
      <color rgb="FFA855F7"/>
      <color rgb="FFF97316"/>
      <color rgb="FF22C55E"/>
      <color rgb="FF2563EB"/>
      <color rgb="FF2B2B2B"/>
      <color rgb="FFFAB406"/>
    </mruColors>
  </colors>
  <extLst>
    <ext xmlns:x14="http://schemas.microsoft.com/office/spreadsheetml/2009/9/main" uri="{46F421CA-312F-682f-3DD2-61675219B42D}">
      <x14:dxfs count="1">
        <dxf>
          <font>
            <b/>
            <i val="0"/>
            <sz val="12"/>
            <color theme="0"/>
            <name val="Calibri Light"/>
            <family val="2"/>
            <scheme val="major"/>
          </font>
          <fill>
            <patternFill>
              <bgColor rgb="FF4A90E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 DASHBOARD SRINIDHI NEWw.xlsx]DASHBOARD ANALYSIS!PivotTable4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4A90E2"/>
            </a:solidFill>
            <a:round/>
          </a:ln>
          <a:effectLst>
            <a:glow rad="12700">
              <a:srgbClr val="00BFFF"/>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 ANALYSIS'!$F$2</c:f>
              <c:strCache>
                <c:ptCount val="1"/>
                <c:pt idx="0">
                  <c:v>Total</c:v>
                </c:pt>
              </c:strCache>
            </c:strRef>
          </c:tx>
          <c:spPr>
            <a:ln w="28575" cap="rnd">
              <a:solidFill>
                <a:srgbClr val="4A90E2"/>
              </a:solidFill>
              <a:round/>
            </a:ln>
            <a:effectLst>
              <a:glow rad="12700">
                <a:srgbClr val="00BFFF"/>
              </a:glow>
            </a:effectLst>
          </c:spPr>
          <c:marker>
            <c:symbol val="none"/>
          </c:marker>
          <c:cat>
            <c:strRef>
              <c:f>'DASHBOARD ANALYSIS'!$E$3:$E$9</c:f>
              <c:strCache>
                <c:ptCount val="6"/>
                <c:pt idx="0">
                  <c:v>1</c:v>
                </c:pt>
                <c:pt idx="1">
                  <c:v>2</c:v>
                </c:pt>
                <c:pt idx="2">
                  <c:v>3</c:v>
                </c:pt>
                <c:pt idx="3">
                  <c:v>4</c:v>
                </c:pt>
                <c:pt idx="4">
                  <c:v>5</c:v>
                </c:pt>
                <c:pt idx="5">
                  <c:v>6</c:v>
                </c:pt>
              </c:strCache>
            </c:strRef>
          </c:cat>
          <c:val>
            <c:numRef>
              <c:f>'DASHBOARD ANALYSIS'!$F$3:$F$9</c:f>
              <c:numCache>
                <c:formatCode>0.00</c:formatCode>
                <c:ptCount val="6"/>
                <c:pt idx="0">
                  <c:v>68.012820512820511</c:v>
                </c:pt>
                <c:pt idx="1">
                  <c:v>68.042553191489347</c:v>
                </c:pt>
                <c:pt idx="2">
                  <c:v>67.808080808080831</c:v>
                </c:pt>
                <c:pt idx="3">
                  <c:v>66.429042904290426</c:v>
                </c:pt>
                <c:pt idx="4">
                  <c:v>67.879879879879866</c:v>
                </c:pt>
                <c:pt idx="5">
                  <c:v>68.941391941391942</c:v>
                </c:pt>
              </c:numCache>
            </c:numRef>
          </c:val>
          <c:smooth val="0"/>
          <c:extLst>
            <c:ext xmlns:c16="http://schemas.microsoft.com/office/drawing/2014/chart" uri="{C3380CC4-5D6E-409C-BE32-E72D297353CC}">
              <c16:uniqueId val="{00000000-AA0C-43E4-8523-F9B4F7581049}"/>
            </c:ext>
          </c:extLst>
        </c:ser>
        <c:dLbls>
          <c:showLegendKey val="0"/>
          <c:showVal val="0"/>
          <c:showCatName val="0"/>
          <c:showSerName val="0"/>
          <c:showPercent val="0"/>
          <c:showBubbleSize val="0"/>
        </c:dLbls>
        <c:smooth val="0"/>
        <c:axId val="1936032096"/>
        <c:axId val="1936032576"/>
      </c:lineChart>
      <c:catAx>
        <c:axId val="193603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crossAx val="1936032576"/>
        <c:crosses val="autoZero"/>
        <c:auto val="1"/>
        <c:lblAlgn val="ctr"/>
        <c:lblOffset val="100"/>
        <c:noMultiLvlLbl val="0"/>
      </c:catAx>
      <c:valAx>
        <c:axId val="1936032576"/>
        <c:scaling>
          <c:orientation val="minMax"/>
        </c:scaling>
        <c:delete val="0"/>
        <c:axPos val="l"/>
        <c:majorGridlines>
          <c:spPr>
            <a:ln w="9525" cap="flat" cmpd="sng" algn="ctr">
              <a:solidFill>
                <a:schemeClr val="accent1">
                  <a:lumMod val="7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3603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 DASHBOARD SRINIDHI NEWw.xlsx]INSIGHT ANALYSIS!PivotTable4</c:name>
    <c:fmtId val="3"/>
  </c:pivotSource>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92D050"/>
          </a:solidFill>
          <a:ln w="19050">
            <a:solidFill>
              <a:schemeClr val="lt1"/>
            </a:solidFill>
          </a:ln>
          <a:effectLst/>
        </c:spPr>
      </c:pivotFmt>
      <c:pivotFmt>
        <c:idx val="2"/>
        <c:spPr>
          <a:solidFill>
            <a:srgbClr val="FF0000"/>
          </a:solidFill>
          <a:ln w="19050">
            <a:solidFill>
              <a:schemeClr val="lt1"/>
            </a:solidFill>
          </a:ln>
          <a:effectLst/>
        </c:spPr>
      </c:pivotFmt>
      <c:pivotFmt>
        <c:idx val="3"/>
        <c:spPr>
          <a:solidFill>
            <a:srgbClr val="FFC000"/>
          </a:solidFill>
          <a:ln w="19050">
            <a:solidFill>
              <a:schemeClr val="lt1"/>
            </a:solidFill>
          </a:ln>
          <a:effectLst/>
        </c:spPr>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FF0000"/>
          </a:solidFill>
          <a:ln w="19050">
            <a:solidFill>
              <a:schemeClr val="lt1"/>
            </a:solidFill>
          </a:ln>
          <a:effectLst/>
        </c:spPr>
      </c:pivotFmt>
      <c:pivotFmt>
        <c:idx val="6"/>
        <c:spPr>
          <a:solidFill>
            <a:srgbClr val="FFC000"/>
          </a:solidFill>
          <a:ln w="19050">
            <a:solidFill>
              <a:schemeClr val="lt1"/>
            </a:solidFill>
          </a:ln>
          <a:effectLst/>
        </c:spPr>
      </c:pivotFmt>
      <c:pivotFmt>
        <c:idx val="7"/>
        <c:spPr>
          <a:solidFill>
            <a:srgbClr val="92D050"/>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solidFill>
          <a:ln w="19050">
            <a:solidFill>
              <a:schemeClr val="lt1"/>
            </a:solidFill>
          </a:ln>
          <a:effectLst/>
        </c:spPr>
      </c:pivotFmt>
      <c:pivotFmt>
        <c:idx val="10"/>
        <c:spPr>
          <a:solidFill>
            <a:srgbClr val="FFC000"/>
          </a:solidFill>
          <a:ln w="19050">
            <a:solidFill>
              <a:schemeClr val="lt1"/>
            </a:solidFill>
          </a:ln>
          <a:effectLst/>
        </c:spPr>
      </c:pivotFmt>
      <c:pivotFmt>
        <c:idx val="11"/>
        <c:spPr>
          <a:solidFill>
            <a:srgbClr val="92D050"/>
          </a:solidFill>
          <a:ln w="19050">
            <a:solidFill>
              <a:schemeClr val="lt1"/>
            </a:solidFill>
          </a:ln>
          <a:effectLst/>
        </c:spPr>
      </c:pivotFmt>
    </c:pivotFmts>
    <c:plotArea>
      <c:layout/>
      <c:doughnutChart>
        <c:varyColors val="1"/>
        <c:ser>
          <c:idx val="0"/>
          <c:order val="0"/>
          <c:tx>
            <c:strRef>
              <c:f>'INSIGHT ANALYSIS'!$B$1</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B4CA-4721-849E-14B7469BA889}"/>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B4CA-4721-849E-14B7469BA889}"/>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B4CA-4721-849E-14B7469BA889}"/>
              </c:ext>
            </c:extLst>
          </c:dPt>
          <c:cat>
            <c:strRef>
              <c:f>'INSIGHT ANALYSIS'!$A$2:$A$5</c:f>
              <c:strCache>
                <c:ptCount val="3"/>
                <c:pt idx="0">
                  <c:v>High Risk</c:v>
                </c:pt>
                <c:pt idx="1">
                  <c:v>Monitor</c:v>
                </c:pt>
                <c:pt idx="2">
                  <c:v>Stable</c:v>
                </c:pt>
              </c:strCache>
            </c:strRef>
          </c:cat>
          <c:val>
            <c:numRef>
              <c:f>'INSIGHT ANALYSIS'!$B$2:$B$5</c:f>
              <c:numCache>
                <c:formatCode>General</c:formatCode>
                <c:ptCount val="3"/>
                <c:pt idx="0">
                  <c:v>109</c:v>
                </c:pt>
                <c:pt idx="1">
                  <c:v>84</c:v>
                </c:pt>
                <c:pt idx="2">
                  <c:v>407</c:v>
                </c:pt>
              </c:numCache>
            </c:numRef>
          </c:val>
          <c:extLst>
            <c:ext xmlns:c16="http://schemas.microsoft.com/office/drawing/2014/chart" uri="{C3380CC4-5D6E-409C-BE32-E72D297353CC}">
              <c16:uniqueId val="{00000006-B4CA-4721-849E-14B7469BA88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 DASHBOARD SRINIDHI NEWw.xlsx]INSIGHT ANALYSIS!PivotTable5</c:name>
    <c:fmtId val="21"/>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 ANALYSIS'!$B$7:$B$8</c:f>
              <c:strCache>
                <c:ptCount val="1"/>
                <c:pt idx="0">
                  <c:v>High Risk</c:v>
                </c:pt>
              </c:strCache>
            </c:strRef>
          </c:tx>
          <c:spPr>
            <a:solidFill>
              <a:srgbClr val="FF0000"/>
            </a:solidFill>
            <a:ln>
              <a:noFill/>
            </a:ln>
            <a:effectLst/>
          </c:spPr>
          <c:invertIfNegative val="0"/>
          <c:cat>
            <c:strRef>
              <c:f>'INSIGHT ANALYSIS'!$A$9:$A$14</c:f>
              <c:strCache>
                <c:ptCount val="5"/>
                <c:pt idx="0">
                  <c:v>BA</c:v>
                </c:pt>
                <c:pt idx="1">
                  <c:v>BBA</c:v>
                </c:pt>
                <c:pt idx="2">
                  <c:v>BCA</c:v>
                </c:pt>
                <c:pt idx="3">
                  <c:v>BCom</c:v>
                </c:pt>
                <c:pt idx="4">
                  <c:v>BSc</c:v>
                </c:pt>
              </c:strCache>
            </c:strRef>
          </c:cat>
          <c:val>
            <c:numRef>
              <c:f>'INSIGHT ANALYSIS'!$B$9:$B$14</c:f>
              <c:numCache>
                <c:formatCode>General</c:formatCode>
                <c:ptCount val="5"/>
                <c:pt idx="0">
                  <c:v>24</c:v>
                </c:pt>
                <c:pt idx="1">
                  <c:v>19</c:v>
                </c:pt>
                <c:pt idx="2">
                  <c:v>18</c:v>
                </c:pt>
                <c:pt idx="3">
                  <c:v>25</c:v>
                </c:pt>
                <c:pt idx="4">
                  <c:v>23</c:v>
                </c:pt>
              </c:numCache>
            </c:numRef>
          </c:val>
          <c:extLst>
            <c:ext xmlns:c16="http://schemas.microsoft.com/office/drawing/2014/chart" uri="{C3380CC4-5D6E-409C-BE32-E72D297353CC}">
              <c16:uniqueId val="{00000000-625C-42B2-B4A5-8090F77A5873}"/>
            </c:ext>
          </c:extLst>
        </c:ser>
        <c:ser>
          <c:idx val="1"/>
          <c:order val="1"/>
          <c:tx>
            <c:strRef>
              <c:f>'INSIGHT ANALYSIS'!$C$7:$C$8</c:f>
              <c:strCache>
                <c:ptCount val="1"/>
                <c:pt idx="0">
                  <c:v>Monitor</c:v>
                </c:pt>
              </c:strCache>
            </c:strRef>
          </c:tx>
          <c:spPr>
            <a:solidFill>
              <a:srgbClr val="FFC000"/>
            </a:solidFill>
            <a:ln>
              <a:noFill/>
            </a:ln>
            <a:effectLst/>
          </c:spPr>
          <c:invertIfNegative val="0"/>
          <c:cat>
            <c:strRef>
              <c:f>'INSIGHT ANALYSIS'!$A$9:$A$14</c:f>
              <c:strCache>
                <c:ptCount val="5"/>
                <c:pt idx="0">
                  <c:v>BA</c:v>
                </c:pt>
                <c:pt idx="1">
                  <c:v>BBA</c:v>
                </c:pt>
                <c:pt idx="2">
                  <c:v>BCA</c:v>
                </c:pt>
                <c:pt idx="3">
                  <c:v>BCom</c:v>
                </c:pt>
                <c:pt idx="4">
                  <c:v>BSc</c:v>
                </c:pt>
              </c:strCache>
            </c:strRef>
          </c:cat>
          <c:val>
            <c:numRef>
              <c:f>'INSIGHT ANALYSIS'!$C$9:$C$14</c:f>
              <c:numCache>
                <c:formatCode>General</c:formatCode>
                <c:ptCount val="5"/>
                <c:pt idx="0">
                  <c:v>13</c:v>
                </c:pt>
                <c:pt idx="1">
                  <c:v>18</c:v>
                </c:pt>
                <c:pt idx="2">
                  <c:v>15</c:v>
                </c:pt>
                <c:pt idx="3">
                  <c:v>14</c:v>
                </c:pt>
                <c:pt idx="4">
                  <c:v>24</c:v>
                </c:pt>
              </c:numCache>
            </c:numRef>
          </c:val>
          <c:extLst>
            <c:ext xmlns:c16="http://schemas.microsoft.com/office/drawing/2014/chart" uri="{C3380CC4-5D6E-409C-BE32-E72D297353CC}">
              <c16:uniqueId val="{00000001-625C-42B2-B4A5-8090F77A5873}"/>
            </c:ext>
          </c:extLst>
        </c:ser>
        <c:ser>
          <c:idx val="2"/>
          <c:order val="2"/>
          <c:tx>
            <c:strRef>
              <c:f>'INSIGHT ANALYSIS'!$D$7:$D$8</c:f>
              <c:strCache>
                <c:ptCount val="1"/>
                <c:pt idx="0">
                  <c:v>Stable</c:v>
                </c:pt>
              </c:strCache>
            </c:strRef>
          </c:tx>
          <c:spPr>
            <a:solidFill>
              <a:srgbClr val="92D050"/>
            </a:solidFill>
            <a:ln>
              <a:noFill/>
            </a:ln>
            <a:effectLst/>
          </c:spPr>
          <c:invertIfNegative val="0"/>
          <c:cat>
            <c:strRef>
              <c:f>'INSIGHT ANALYSIS'!$A$9:$A$14</c:f>
              <c:strCache>
                <c:ptCount val="5"/>
                <c:pt idx="0">
                  <c:v>BA</c:v>
                </c:pt>
                <c:pt idx="1">
                  <c:v>BBA</c:v>
                </c:pt>
                <c:pt idx="2">
                  <c:v>BCA</c:v>
                </c:pt>
                <c:pt idx="3">
                  <c:v>BCom</c:v>
                </c:pt>
                <c:pt idx="4">
                  <c:v>BSc</c:v>
                </c:pt>
              </c:strCache>
            </c:strRef>
          </c:cat>
          <c:val>
            <c:numRef>
              <c:f>'INSIGHT ANALYSIS'!$D$9:$D$14</c:f>
              <c:numCache>
                <c:formatCode>General</c:formatCode>
                <c:ptCount val="5"/>
                <c:pt idx="0">
                  <c:v>94</c:v>
                </c:pt>
                <c:pt idx="1">
                  <c:v>78</c:v>
                </c:pt>
                <c:pt idx="2">
                  <c:v>75</c:v>
                </c:pt>
                <c:pt idx="3">
                  <c:v>78</c:v>
                </c:pt>
                <c:pt idx="4">
                  <c:v>82</c:v>
                </c:pt>
              </c:numCache>
            </c:numRef>
          </c:val>
          <c:extLst>
            <c:ext xmlns:c16="http://schemas.microsoft.com/office/drawing/2014/chart" uri="{C3380CC4-5D6E-409C-BE32-E72D297353CC}">
              <c16:uniqueId val="{00000002-625C-42B2-B4A5-8090F77A5873}"/>
            </c:ext>
          </c:extLst>
        </c:ser>
        <c:dLbls>
          <c:showLegendKey val="0"/>
          <c:showVal val="0"/>
          <c:showCatName val="0"/>
          <c:showSerName val="0"/>
          <c:showPercent val="0"/>
          <c:showBubbleSize val="0"/>
        </c:dLbls>
        <c:gapWidth val="219"/>
        <c:overlap val="-27"/>
        <c:axId val="2054560160"/>
        <c:axId val="2054560640"/>
      </c:barChart>
      <c:catAx>
        <c:axId val="205456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2054560640"/>
        <c:crosses val="autoZero"/>
        <c:auto val="1"/>
        <c:lblAlgn val="ctr"/>
        <c:lblOffset val="100"/>
        <c:noMultiLvlLbl val="0"/>
      </c:catAx>
      <c:valAx>
        <c:axId val="2054560640"/>
        <c:scaling>
          <c:orientation val="minMax"/>
        </c:scaling>
        <c:delete val="0"/>
        <c:axPos val="l"/>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2054560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image" Target="../media/image1.png"/><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281940</xdr:colOff>
      <xdr:row>5</xdr:row>
      <xdr:rowOff>99060</xdr:rowOff>
    </xdr:from>
    <xdr:to>
      <xdr:col>4</xdr:col>
      <xdr:colOff>495300</xdr:colOff>
      <xdr:row>11</xdr:row>
      <xdr:rowOff>7620</xdr:rowOff>
    </xdr:to>
    <xdr:sp macro="" textlink="">
      <xdr:nvSpPr>
        <xdr:cNvPr id="15" name="Rectangle: Rounded Corners 14">
          <a:extLst>
            <a:ext uri="{FF2B5EF4-FFF2-40B4-BE49-F238E27FC236}">
              <a16:creationId xmlns:a16="http://schemas.microsoft.com/office/drawing/2014/main" id="{E9D7A103-5E65-1A7D-6E72-93975B15FF36}"/>
            </a:ext>
          </a:extLst>
        </xdr:cNvPr>
        <xdr:cNvSpPr/>
      </xdr:nvSpPr>
      <xdr:spPr>
        <a:xfrm>
          <a:off x="281940" y="1013460"/>
          <a:ext cx="2651760" cy="1005840"/>
        </a:xfrm>
        <a:prstGeom prst="roundRect">
          <a:avLst/>
        </a:prstGeom>
        <a:solidFill>
          <a:srgbClr val="2563EB"/>
        </a:solidFill>
        <a:ln w="57150">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22860</xdr:colOff>
      <xdr:row>5</xdr:row>
      <xdr:rowOff>121920</xdr:rowOff>
    </xdr:from>
    <xdr:to>
      <xdr:col>10</xdr:col>
      <xdr:colOff>236220</xdr:colOff>
      <xdr:row>11</xdr:row>
      <xdr:rowOff>30480</xdr:rowOff>
    </xdr:to>
    <xdr:sp macro="" textlink="">
      <xdr:nvSpPr>
        <xdr:cNvPr id="16" name="Rectangle: Rounded Corners 15">
          <a:extLst>
            <a:ext uri="{FF2B5EF4-FFF2-40B4-BE49-F238E27FC236}">
              <a16:creationId xmlns:a16="http://schemas.microsoft.com/office/drawing/2014/main" id="{47B330D6-3561-2F2B-23E3-124E4495042D}"/>
            </a:ext>
          </a:extLst>
        </xdr:cNvPr>
        <xdr:cNvSpPr/>
      </xdr:nvSpPr>
      <xdr:spPr>
        <a:xfrm>
          <a:off x="3680460" y="1036320"/>
          <a:ext cx="2651760" cy="1005840"/>
        </a:xfrm>
        <a:prstGeom prst="roundRect">
          <a:avLst/>
        </a:prstGeom>
        <a:solidFill>
          <a:srgbClr val="22C55E"/>
        </a:solidFill>
        <a:ln w="57150">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373380</xdr:colOff>
      <xdr:row>5</xdr:row>
      <xdr:rowOff>121920</xdr:rowOff>
    </xdr:from>
    <xdr:to>
      <xdr:col>15</xdr:col>
      <xdr:colOff>586740</xdr:colOff>
      <xdr:row>11</xdr:row>
      <xdr:rowOff>30480</xdr:rowOff>
    </xdr:to>
    <xdr:sp macro="" textlink="">
      <xdr:nvSpPr>
        <xdr:cNvPr id="17" name="Rectangle: Rounded Corners 16">
          <a:extLst>
            <a:ext uri="{FF2B5EF4-FFF2-40B4-BE49-F238E27FC236}">
              <a16:creationId xmlns:a16="http://schemas.microsoft.com/office/drawing/2014/main" id="{FDAE7C8D-7AF4-8539-9548-CF567462FB83}"/>
            </a:ext>
          </a:extLst>
        </xdr:cNvPr>
        <xdr:cNvSpPr/>
      </xdr:nvSpPr>
      <xdr:spPr>
        <a:xfrm>
          <a:off x="7078980" y="1036320"/>
          <a:ext cx="2651760" cy="1005840"/>
        </a:xfrm>
        <a:prstGeom prst="roundRect">
          <a:avLst/>
        </a:prstGeom>
        <a:solidFill>
          <a:srgbClr val="F97316"/>
        </a:solidFill>
        <a:ln w="57150">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114300</xdr:colOff>
      <xdr:row>5</xdr:row>
      <xdr:rowOff>121920</xdr:rowOff>
    </xdr:from>
    <xdr:to>
      <xdr:col>21</xdr:col>
      <xdr:colOff>327660</xdr:colOff>
      <xdr:row>11</xdr:row>
      <xdr:rowOff>30480</xdr:rowOff>
    </xdr:to>
    <xdr:sp macro="" textlink="">
      <xdr:nvSpPr>
        <xdr:cNvPr id="18" name="Rectangle: Rounded Corners 17">
          <a:extLst>
            <a:ext uri="{FF2B5EF4-FFF2-40B4-BE49-F238E27FC236}">
              <a16:creationId xmlns:a16="http://schemas.microsoft.com/office/drawing/2014/main" id="{5C0E984D-60E7-92D1-6AF8-B622AC183F6E}"/>
            </a:ext>
          </a:extLst>
        </xdr:cNvPr>
        <xdr:cNvSpPr/>
      </xdr:nvSpPr>
      <xdr:spPr>
        <a:xfrm>
          <a:off x="10477500" y="1036320"/>
          <a:ext cx="2651760" cy="1005840"/>
        </a:xfrm>
        <a:prstGeom prst="roundRect">
          <a:avLst/>
        </a:prstGeom>
        <a:solidFill>
          <a:srgbClr val="A855F7"/>
        </a:solidFill>
        <a:ln w="57150">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601980</xdr:colOff>
      <xdr:row>0</xdr:row>
      <xdr:rowOff>121920</xdr:rowOff>
    </xdr:from>
    <xdr:to>
      <xdr:col>16</xdr:col>
      <xdr:colOff>601980</xdr:colOff>
      <xdr:row>2</xdr:row>
      <xdr:rowOff>114300</xdr:rowOff>
    </xdr:to>
    <xdr:sp macro="" textlink="">
      <xdr:nvSpPr>
        <xdr:cNvPr id="19" name="Rectangle 18">
          <a:extLst>
            <a:ext uri="{FF2B5EF4-FFF2-40B4-BE49-F238E27FC236}">
              <a16:creationId xmlns:a16="http://schemas.microsoft.com/office/drawing/2014/main" id="{0492EFF5-F5F5-6FBD-20F6-DE5DF591DD0F}"/>
            </a:ext>
          </a:extLst>
        </xdr:cNvPr>
        <xdr:cNvSpPr/>
      </xdr:nvSpPr>
      <xdr:spPr>
        <a:xfrm>
          <a:off x="3649980" y="121920"/>
          <a:ext cx="6705600" cy="3581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381000</xdr:colOff>
      <xdr:row>6</xdr:row>
      <xdr:rowOff>15240</xdr:rowOff>
    </xdr:from>
    <xdr:to>
      <xdr:col>4</xdr:col>
      <xdr:colOff>388620</xdr:colOff>
      <xdr:row>7</xdr:row>
      <xdr:rowOff>167640</xdr:rowOff>
    </xdr:to>
    <xdr:sp macro="" textlink="">
      <xdr:nvSpPr>
        <xdr:cNvPr id="20" name="TextBox 19">
          <a:extLst>
            <a:ext uri="{FF2B5EF4-FFF2-40B4-BE49-F238E27FC236}">
              <a16:creationId xmlns:a16="http://schemas.microsoft.com/office/drawing/2014/main" id="{82432599-5256-E188-AD99-0B0B0F7AA64B}"/>
            </a:ext>
          </a:extLst>
        </xdr:cNvPr>
        <xdr:cNvSpPr txBox="1"/>
      </xdr:nvSpPr>
      <xdr:spPr>
        <a:xfrm>
          <a:off x="381000" y="1112520"/>
          <a:ext cx="2446020" cy="335280"/>
        </a:xfrm>
        <a:prstGeom prst="rect">
          <a:avLst/>
        </a:prstGeom>
        <a:solidFill>
          <a:srgbClr val="2563E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latin typeface="Segoe UI Black" panose="020B0A02040204020203" pitchFamily="34" charset="0"/>
              <a:ea typeface="Segoe UI Black" panose="020B0A02040204020203" pitchFamily="34" charset="0"/>
            </a:rPr>
            <a:t>TOTAL</a:t>
          </a:r>
          <a:r>
            <a:rPr lang="en-IN" sz="1600" b="1" baseline="0">
              <a:solidFill>
                <a:schemeClr val="bg1"/>
              </a:solidFill>
              <a:latin typeface="Segoe UI Black" panose="020B0A02040204020203" pitchFamily="34" charset="0"/>
              <a:ea typeface="Segoe UI Black" panose="020B0A02040204020203" pitchFamily="34" charset="0"/>
            </a:rPr>
            <a:t> STUDENTS</a:t>
          </a:r>
          <a:endParaRPr lang="en-IN" sz="1600" b="1">
            <a:solidFill>
              <a:schemeClr val="bg1"/>
            </a:solidFill>
            <a:latin typeface="Segoe UI Black" panose="020B0A02040204020203" pitchFamily="34" charset="0"/>
            <a:ea typeface="Segoe UI Black" panose="020B0A02040204020203" pitchFamily="34" charset="0"/>
          </a:endParaRPr>
        </a:p>
      </xdr:txBody>
    </xdr:sp>
    <xdr:clientData/>
  </xdr:twoCellAnchor>
  <xdr:twoCellAnchor>
    <xdr:from>
      <xdr:col>6</xdr:col>
      <xdr:colOff>289560</xdr:colOff>
      <xdr:row>0</xdr:row>
      <xdr:rowOff>106680</xdr:rowOff>
    </xdr:from>
    <xdr:to>
      <xdr:col>16</xdr:col>
      <xdr:colOff>464820</xdr:colOff>
      <xdr:row>2</xdr:row>
      <xdr:rowOff>129540</xdr:rowOff>
    </xdr:to>
    <xdr:sp macro="" textlink="">
      <xdr:nvSpPr>
        <xdr:cNvPr id="21" name="TextBox 20">
          <a:extLst>
            <a:ext uri="{FF2B5EF4-FFF2-40B4-BE49-F238E27FC236}">
              <a16:creationId xmlns:a16="http://schemas.microsoft.com/office/drawing/2014/main" id="{7CB4BFAE-EF61-20CE-5800-AF4552E51363}"/>
            </a:ext>
          </a:extLst>
        </xdr:cNvPr>
        <xdr:cNvSpPr txBox="1"/>
      </xdr:nvSpPr>
      <xdr:spPr>
        <a:xfrm>
          <a:off x="3947160" y="106680"/>
          <a:ext cx="6271260" cy="388620"/>
        </a:xfrm>
        <a:prstGeom prst="rect">
          <a:avLst/>
        </a:prstGeom>
        <a:solidFill>
          <a:srgbClr val="2B2B2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u="sng">
              <a:solidFill>
                <a:schemeClr val="bg1"/>
              </a:solidFill>
              <a:latin typeface="Segoe UI Black" panose="020B0A02040204020203" pitchFamily="34" charset="0"/>
              <a:ea typeface="Segoe UI Black" panose="020B0A02040204020203" pitchFamily="34" charset="0"/>
            </a:rPr>
            <a:t>"STUDENT  PERFORMANCE </a:t>
          </a:r>
          <a:r>
            <a:rPr lang="en-IN" sz="1600" b="1" u="sng" baseline="0">
              <a:solidFill>
                <a:schemeClr val="bg1"/>
              </a:solidFill>
              <a:latin typeface="Segoe UI Black" panose="020B0A02040204020203" pitchFamily="34" charset="0"/>
              <a:ea typeface="Segoe UI Black" panose="020B0A02040204020203" pitchFamily="34" charset="0"/>
            </a:rPr>
            <a:t> ANALYSIS  DASHBOARD"</a:t>
          </a:r>
          <a:endParaRPr lang="en-IN" sz="1600" b="1" u="sng">
            <a:solidFill>
              <a:schemeClr val="bg1"/>
            </a:solidFill>
            <a:latin typeface="Segoe UI Black" panose="020B0A02040204020203" pitchFamily="34" charset="0"/>
            <a:ea typeface="Segoe UI Black" panose="020B0A02040204020203" pitchFamily="34" charset="0"/>
          </a:endParaRPr>
        </a:p>
      </xdr:txBody>
    </xdr:sp>
    <xdr:clientData/>
  </xdr:twoCellAnchor>
  <xdr:twoCellAnchor>
    <xdr:from>
      <xdr:col>6</xdr:col>
      <xdr:colOff>160020</xdr:colOff>
      <xdr:row>5</xdr:row>
      <xdr:rowOff>160020</xdr:rowOff>
    </xdr:from>
    <xdr:to>
      <xdr:col>10</xdr:col>
      <xdr:colOff>129540</xdr:colOff>
      <xdr:row>8</xdr:row>
      <xdr:rowOff>91440</xdr:rowOff>
    </xdr:to>
    <xdr:sp macro="" textlink="">
      <xdr:nvSpPr>
        <xdr:cNvPr id="22" name="TextBox 21">
          <a:extLst>
            <a:ext uri="{FF2B5EF4-FFF2-40B4-BE49-F238E27FC236}">
              <a16:creationId xmlns:a16="http://schemas.microsoft.com/office/drawing/2014/main" id="{D10B3292-FEED-9D6E-C0AA-C3D940AF69FE}"/>
            </a:ext>
          </a:extLst>
        </xdr:cNvPr>
        <xdr:cNvSpPr txBox="1"/>
      </xdr:nvSpPr>
      <xdr:spPr>
        <a:xfrm>
          <a:off x="3817620" y="1074420"/>
          <a:ext cx="2407920" cy="480060"/>
        </a:xfrm>
        <a:prstGeom prst="rect">
          <a:avLst/>
        </a:prstGeom>
        <a:solidFill>
          <a:srgbClr val="22C55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lumMod val="95000"/>
                </a:schemeClr>
              </a:solidFill>
              <a:latin typeface="Segoe UI Black" panose="020B0A02040204020203" pitchFamily="34" charset="0"/>
              <a:ea typeface="Segoe UI Black" panose="020B0A02040204020203" pitchFamily="34" charset="0"/>
            </a:rPr>
            <a:t>OVERALL PASS%</a:t>
          </a:r>
        </a:p>
      </xdr:txBody>
    </xdr:sp>
    <xdr:clientData/>
  </xdr:twoCellAnchor>
  <xdr:twoCellAnchor>
    <xdr:from>
      <xdr:col>11</xdr:col>
      <xdr:colOff>502920</xdr:colOff>
      <xdr:row>6</xdr:row>
      <xdr:rowOff>7620</xdr:rowOff>
    </xdr:from>
    <xdr:to>
      <xdr:col>15</xdr:col>
      <xdr:colOff>342900</xdr:colOff>
      <xdr:row>8</xdr:row>
      <xdr:rowOff>60960</xdr:rowOff>
    </xdr:to>
    <xdr:sp macro="" textlink="">
      <xdr:nvSpPr>
        <xdr:cNvPr id="23" name="TextBox 22">
          <a:extLst>
            <a:ext uri="{FF2B5EF4-FFF2-40B4-BE49-F238E27FC236}">
              <a16:creationId xmlns:a16="http://schemas.microsoft.com/office/drawing/2014/main" id="{5FF557C3-EC94-200E-0B20-BA55DEE5EE22}"/>
            </a:ext>
          </a:extLst>
        </xdr:cNvPr>
        <xdr:cNvSpPr txBox="1"/>
      </xdr:nvSpPr>
      <xdr:spPr>
        <a:xfrm>
          <a:off x="7208520" y="1104900"/>
          <a:ext cx="2278380" cy="419100"/>
        </a:xfrm>
        <a:prstGeom prst="rect">
          <a:avLst/>
        </a:prstGeom>
        <a:solidFill>
          <a:srgbClr val="F9731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latin typeface="Segoe UI Black" panose="020B0A02040204020203" pitchFamily="34" charset="0"/>
              <a:ea typeface="Segoe UI Black" panose="020B0A02040204020203" pitchFamily="34" charset="0"/>
            </a:rPr>
            <a:t>NEED</a:t>
          </a:r>
          <a:r>
            <a:rPr lang="en-IN" sz="1600" b="1" baseline="0">
              <a:solidFill>
                <a:schemeClr val="bg1"/>
              </a:solidFill>
              <a:latin typeface="Segoe UI Black" panose="020B0A02040204020203" pitchFamily="34" charset="0"/>
              <a:ea typeface="Segoe UI Black" panose="020B0A02040204020203" pitchFamily="34" charset="0"/>
            </a:rPr>
            <a:t> SUPPORT</a:t>
          </a:r>
          <a:endParaRPr lang="en-IN" sz="1600" b="1">
            <a:solidFill>
              <a:schemeClr val="bg1"/>
            </a:solidFill>
            <a:latin typeface="Segoe UI Black" panose="020B0A02040204020203" pitchFamily="34" charset="0"/>
            <a:ea typeface="Segoe UI Black" panose="020B0A02040204020203" pitchFamily="34" charset="0"/>
          </a:endParaRPr>
        </a:p>
      </xdr:txBody>
    </xdr:sp>
    <xdr:clientData/>
  </xdr:twoCellAnchor>
  <xdr:twoCellAnchor>
    <xdr:from>
      <xdr:col>17</xdr:col>
      <xdr:colOff>259080</xdr:colOff>
      <xdr:row>6</xdr:row>
      <xdr:rowOff>7620</xdr:rowOff>
    </xdr:from>
    <xdr:to>
      <xdr:col>21</xdr:col>
      <xdr:colOff>213360</xdr:colOff>
      <xdr:row>8</xdr:row>
      <xdr:rowOff>114300</xdr:rowOff>
    </xdr:to>
    <xdr:sp macro="" textlink="">
      <xdr:nvSpPr>
        <xdr:cNvPr id="24" name="TextBox 23">
          <a:extLst>
            <a:ext uri="{FF2B5EF4-FFF2-40B4-BE49-F238E27FC236}">
              <a16:creationId xmlns:a16="http://schemas.microsoft.com/office/drawing/2014/main" id="{B099A9AC-1838-0A1D-0CD6-7C14505FA87C}"/>
            </a:ext>
          </a:extLst>
        </xdr:cNvPr>
        <xdr:cNvSpPr txBox="1"/>
      </xdr:nvSpPr>
      <xdr:spPr>
        <a:xfrm>
          <a:off x="10622280" y="1104900"/>
          <a:ext cx="2392680" cy="472440"/>
        </a:xfrm>
        <a:prstGeom prst="rect">
          <a:avLst/>
        </a:prstGeom>
        <a:solidFill>
          <a:srgbClr val="A855F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latin typeface="Segoe UI Black" panose="020B0A02040204020203" pitchFamily="34" charset="0"/>
              <a:ea typeface="Segoe UI Black" panose="020B0A02040204020203" pitchFamily="34" charset="0"/>
            </a:rPr>
            <a:t>AVERAGE SCORE</a:t>
          </a:r>
        </a:p>
      </xdr:txBody>
    </xdr:sp>
    <xdr:clientData/>
  </xdr:twoCellAnchor>
  <xdr:twoCellAnchor>
    <xdr:from>
      <xdr:col>0</xdr:col>
      <xdr:colOff>495300</xdr:colOff>
      <xdr:row>8</xdr:row>
      <xdr:rowOff>0</xdr:rowOff>
    </xdr:from>
    <xdr:to>
      <xdr:col>3</xdr:col>
      <xdr:colOff>548640</xdr:colOff>
      <xdr:row>9</xdr:row>
      <xdr:rowOff>167640</xdr:rowOff>
    </xdr:to>
    <xdr:sp macro="" textlink="'DASHBOARD ANALYSIS'!B1">
      <xdr:nvSpPr>
        <xdr:cNvPr id="26" name="TextBox 25">
          <a:extLst>
            <a:ext uri="{FF2B5EF4-FFF2-40B4-BE49-F238E27FC236}">
              <a16:creationId xmlns:a16="http://schemas.microsoft.com/office/drawing/2014/main" id="{8B167D95-40FA-1F94-C481-64C33444F779}"/>
            </a:ext>
          </a:extLst>
        </xdr:cNvPr>
        <xdr:cNvSpPr txBox="1"/>
      </xdr:nvSpPr>
      <xdr:spPr>
        <a:xfrm>
          <a:off x="495300" y="1463040"/>
          <a:ext cx="1882140" cy="350520"/>
        </a:xfrm>
        <a:prstGeom prst="rect">
          <a:avLst/>
        </a:prstGeom>
        <a:solidFill>
          <a:srgbClr val="2563E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37668DD-1029-4678-B586-74EAC1B18628}" type="TxLink">
            <a:rPr lang="en-US" sz="2000" b="1" i="0" u="none" strike="noStrike">
              <a:solidFill>
                <a:schemeClr val="bg1"/>
              </a:solidFill>
              <a:latin typeface="Segoe UI Black" panose="020B0A02040204020203" pitchFamily="34" charset="0"/>
              <a:ea typeface="Segoe UI Black" panose="020B0A02040204020203" pitchFamily="34" charset="0"/>
              <a:cs typeface="Calibri"/>
            </a:rPr>
            <a:pPr algn="ctr"/>
            <a:t>600</a:t>
          </a:fld>
          <a:endParaRPr lang="en-IN" sz="2000" b="1">
            <a:solidFill>
              <a:schemeClr val="bg1"/>
            </a:solidFill>
            <a:latin typeface="Segoe UI Black" panose="020B0A02040204020203" pitchFamily="34" charset="0"/>
            <a:ea typeface="Segoe UI Black" panose="020B0A02040204020203" pitchFamily="34" charset="0"/>
          </a:endParaRPr>
        </a:p>
      </xdr:txBody>
    </xdr:sp>
    <xdr:clientData/>
  </xdr:twoCellAnchor>
  <xdr:twoCellAnchor>
    <xdr:from>
      <xdr:col>6</xdr:col>
      <xdr:colOff>205740</xdr:colOff>
      <xdr:row>7</xdr:row>
      <xdr:rowOff>167640</xdr:rowOff>
    </xdr:from>
    <xdr:to>
      <xdr:col>9</xdr:col>
      <xdr:colOff>594360</xdr:colOff>
      <xdr:row>10</xdr:row>
      <xdr:rowOff>30480</xdr:rowOff>
    </xdr:to>
    <xdr:sp macro="" textlink="'DASHBOARD ANALYSIS'!B2">
      <xdr:nvSpPr>
        <xdr:cNvPr id="27" name="TextBox 26">
          <a:extLst>
            <a:ext uri="{FF2B5EF4-FFF2-40B4-BE49-F238E27FC236}">
              <a16:creationId xmlns:a16="http://schemas.microsoft.com/office/drawing/2014/main" id="{86217F9C-9466-8E6B-E0D2-01755830E845}"/>
            </a:ext>
          </a:extLst>
        </xdr:cNvPr>
        <xdr:cNvSpPr txBox="1"/>
      </xdr:nvSpPr>
      <xdr:spPr>
        <a:xfrm>
          <a:off x="3863340" y="1447800"/>
          <a:ext cx="2217420" cy="411480"/>
        </a:xfrm>
        <a:prstGeom prst="rect">
          <a:avLst/>
        </a:prstGeom>
        <a:solidFill>
          <a:srgbClr val="22C55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150402E-530E-48C9-B904-0F3847174850}" type="TxLink">
            <a:rPr lang="en-US" sz="2000" b="1" i="0" u="none" strike="noStrike">
              <a:solidFill>
                <a:schemeClr val="bg1"/>
              </a:solidFill>
              <a:latin typeface="Segoe UI Black" panose="020B0A02040204020203" pitchFamily="34" charset="0"/>
              <a:ea typeface="Segoe UI Black" panose="020B0A02040204020203" pitchFamily="34" charset="0"/>
              <a:cs typeface="Calibri"/>
            </a:rPr>
            <a:pPr algn="ctr"/>
            <a:t>81.83%</a:t>
          </a:fld>
          <a:endParaRPr lang="en-IN" sz="2000" b="1">
            <a:solidFill>
              <a:schemeClr val="bg1"/>
            </a:solidFill>
            <a:latin typeface="Segoe UI Black" panose="020B0A02040204020203" pitchFamily="34" charset="0"/>
            <a:ea typeface="Segoe UI Black" panose="020B0A02040204020203" pitchFamily="34" charset="0"/>
          </a:endParaRPr>
        </a:p>
      </xdr:txBody>
    </xdr:sp>
    <xdr:clientData/>
  </xdr:twoCellAnchor>
  <xdr:twoCellAnchor>
    <xdr:from>
      <xdr:col>11</xdr:col>
      <xdr:colOff>426720</xdr:colOff>
      <xdr:row>7</xdr:row>
      <xdr:rowOff>167640</xdr:rowOff>
    </xdr:from>
    <xdr:to>
      <xdr:col>15</xdr:col>
      <xdr:colOff>350520</xdr:colOff>
      <xdr:row>10</xdr:row>
      <xdr:rowOff>0</xdr:rowOff>
    </xdr:to>
    <xdr:sp macro="" textlink="'DASHBOARD ANALYSIS'!B4">
      <xdr:nvSpPr>
        <xdr:cNvPr id="28" name="TextBox 27">
          <a:extLst>
            <a:ext uri="{FF2B5EF4-FFF2-40B4-BE49-F238E27FC236}">
              <a16:creationId xmlns:a16="http://schemas.microsoft.com/office/drawing/2014/main" id="{F74E519F-9944-CC65-1B32-0B64BE24924B}"/>
            </a:ext>
          </a:extLst>
        </xdr:cNvPr>
        <xdr:cNvSpPr txBox="1"/>
      </xdr:nvSpPr>
      <xdr:spPr>
        <a:xfrm>
          <a:off x="7132320" y="1447800"/>
          <a:ext cx="2362200" cy="381000"/>
        </a:xfrm>
        <a:prstGeom prst="rect">
          <a:avLst/>
        </a:prstGeom>
        <a:solidFill>
          <a:srgbClr val="F9731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315E80B-E1A8-40E2-8288-049BE7994A64}" type="TxLink">
            <a:rPr lang="en-US" sz="2000" b="0" i="0" u="none" strike="noStrike">
              <a:solidFill>
                <a:schemeClr val="bg1"/>
              </a:solidFill>
              <a:latin typeface="Segoe UI Black" panose="020B0A02040204020203" pitchFamily="34" charset="0"/>
              <a:ea typeface="Segoe UI Black" panose="020B0A02040204020203" pitchFamily="34" charset="0"/>
              <a:cs typeface="Calibri"/>
            </a:rPr>
            <a:pPr algn="ctr"/>
            <a:t>109</a:t>
          </a:fld>
          <a:endParaRPr lang="en-IN" sz="2000">
            <a:solidFill>
              <a:schemeClr val="bg1"/>
            </a:solidFill>
            <a:latin typeface="Segoe UI Black" panose="020B0A02040204020203" pitchFamily="34" charset="0"/>
            <a:ea typeface="Segoe UI Black" panose="020B0A02040204020203" pitchFamily="34" charset="0"/>
          </a:endParaRPr>
        </a:p>
      </xdr:txBody>
    </xdr:sp>
    <xdr:clientData/>
  </xdr:twoCellAnchor>
  <xdr:twoCellAnchor>
    <xdr:from>
      <xdr:col>17</xdr:col>
      <xdr:colOff>342900</xdr:colOff>
      <xdr:row>8</xdr:row>
      <xdr:rowOff>7620</xdr:rowOff>
    </xdr:from>
    <xdr:to>
      <xdr:col>21</xdr:col>
      <xdr:colOff>152400</xdr:colOff>
      <xdr:row>10</xdr:row>
      <xdr:rowOff>30480</xdr:rowOff>
    </xdr:to>
    <xdr:sp macro="" textlink="'DASHBOARD ANALYSIS'!B3">
      <xdr:nvSpPr>
        <xdr:cNvPr id="29" name="TextBox 28">
          <a:extLst>
            <a:ext uri="{FF2B5EF4-FFF2-40B4-BE49-F238E27FC236}">
              <a16:creationId xmlns:a16="http://schemas.microsoft.com/office/drawing/2014/main" id="{6668FD8B-C26F-674B-33BE-3F8CE5C88286}"/>
            </a:ext>
          </a:extLst>
        </xdr:cNvPr>
        <xdr:cNvSpPr txBox="1"/>
      </xdr:nvSpPr>
      <xdr:spPr>
        <a:xfrm>
          <a:off x="10706100" y="1470660"/>
          <a:ext cx="2247900" cy="388620"/>
        </a:xfrm>
        <a:prstGeom prst="rect">
          <a:avLst/>
        </a:prstGeom>
        <a:solidFill>
          <a:srgbClr val="A855F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7B0E1E4-599E-4458-95C8-FD34F325F17F}" type="TxLink">
            <a:rPr lang="en-US" sz="2000" b="0" i="0" u="none" strike="noStrike">
              <a:solidFill>
                <a:schemeClr val="bg1"/>
              </a:solidFill>
              <a:latin typeface="Segoe UI Black" panose="020B0A02040204020203" pitchFamily="34" charset="0"/>
              <a:ea typeface="Segoe UI Black" panose="020B0A02040204020203" pitchFamily="34" charset="0"/>
              <a:cs typeface="Calibri"/>
            </a:rPr>
            <a:pPr algn="ctr"/>
            <a:t>67.82</a:t>
          </a:fld>
          <a:endParaRPr lang="en-IN" sz="2000">
            <a:solidFill>
              <a:schemeClr val="bg1"/>
            </a:solidFill>
            <a:latin typeface="Segoe UI Black" panose="020B0A02040204020203" pitchFamily="34" charset="0"/>
            <a:ea typeface="Segoe UI Black" panose="020B0A02040204020203" pitchFamily="34" charset="0"/>
          </a:endParaRPr>
        </a:p>
      </xdr:txBody>
    </xdr:sp>
    <xdr:clientData/>
  </xdr:twoCellAnchor>
  <xdr:twoCellAnchor editAs="oneCell">
    <xdr:from>
      <xdr:col>15</xdr:col>
      <xdr:colOff>45720</xdr:colOff>
      <xdr:row>13</xdr:row>
      <xdr:rowOff>60960</xdr:rowOff>
    </xdr:from>
    <xdr:to>
      <xdr:col>18</xdr:col>
      <xdr:colOff>601980</xdr:colOff>
      <xdr:row>32</xdr:row>
      <xdr:rowOff>0</xdr:rowOff>
    </xdr:to>
    <mc:AlternateContent xmlns:mc="http://schemas.openxmlformats.org/markup-compatibility/2006" xmlns:a14="http://schemas.microsoft.com/office/drawing/2010/main">
      <mc:Choice Requires="a14">
        <xdr:graphicFrame macro="">
          <xdr:nvGraphicFramePr>
            <xdr:cNvPr id="30" name="Gender">
              <a:extLst>
                <a:ext uri="{FF2B5EF4-FFF2-40B4-BE49-F238E27FC236}">
                  <a16:creationId xmlns:a16="http://schemas.microsoft.com/office/drawing/2014/main" id="{B1C433D2-B0D6-4187-9D96-5FC866EABF0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189720" y="2438400"/>
              <a:ext cx="2385060" cy="3413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45720</xdr:colOff>
      <xdr:row>13</xdr:row>
      <xdr:rowOff>45720</xdr:rowOff>
    </xdr:from>
    <xdr:to>
      <xdr:col>22</xdr:col>
      <xdr:colOff>495300</xdr:colOff>
      <xdr:row>31</xdr:row>
      <xdr:rowOff>167639</xdr:rowOff>
    </xdr:to>
    <mc:AlternateContent xmlns:mc="http://schemas.openxmlformats.org/markup-compatibility/2006" xmlns:a14="http://schemas.microsoft.com/office/drawing/2010/main">
      <mc:Choice Requires="a14">
        <xdr:graphicFrame macro="">
          <xdr:nvGraphicFramePr>
            <xdr:cNvPr id="31" name="Course">
              <a:extLst>
                <a:ext uri="{FF2B5EF4-FFF2-40B4-BE49-F238E27FC236}">
                  <a16:creationId xmlns:a16="http://schemas.microsoft.com/office/drawing/2014/main" id="{6938863B-6BFB-48CA-AD7A-D8F67730658C}"/>
                </a:ext>
              </a:extLst>
            </xdr:cNvPr>
            <xdr:cNvGraphicFramePr/>
          </xdr:nvGraphicFramePr>
          <xdr:xfrm>
            <a:off x="0" y="0"/>
            <a:ext cx="0" cy="0"/>
          </xdr:xfrm>
          <a:graphic>
            <a:graphicData uri="http://schemas.microsoft.com/office/drawing/2010/slicer">
              <sle:slicer xmlns:sle="http://schemas.microsoft.com/office/drawing/2010/slicer" name="Course"/>
            </a:graphicData>
          </a:graphic>
        </xdr:graphicFrame>
      </mc:Choice>
      <mc:Fallback xmlns="">
        <xdr:sp macro="" textlink="">
          <xdr:nvSpPr>
            <xdr:cNvPr id="0" name=""/>
            <xdr:cNvSpPr>
              <a:spLocks noTextEdit="1"/>
            </xdr:cNvSpPr>
          </xdr:nvSpPr>
          <xdr:spPr>
            <a:xfrm>
              <a:off x="11628120" y="2423160"/>
              <a:ext cx="2278380" cy="3413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99060</xdr:colOff>
      <xdr:row>13</xdr:row>
      <xdr:rowOff>38100</xdr:rowOff>
    </xdr:from>
    <xdr:to>
      <xdr:col>15</xdr:col>
      <xdr:colOff>7620</xdr:colOff>
      <xdr:row>32</xdr:row>
      <xdr:rowOff>30480</xdr:rowOff>
    </xdr:to>
    <mc:AlternateContent xmlns:mc="http://schemas.openxmlformats.org/markup-compatibility/2006" xmlns:a14="http://schemas.microsoft.com/office/drawing/2010/main">
      <mc:Choice Requires="a14">
        <xdr:graphicFrame macro="">
          <xdr:nvGraphicFramePr>
            <xdr:cNvPr id="32" name="Semester">
              <a:extLst>
                <a:ext uri="{FF2B5EF4-FFF2-40B4-BE49-F238E27FC236}">
                  <a16:creationId xmlns:a16="http://schemas.microsoft.com/office/drawing/2014/main" id="{E52C8703-AC36-49BA-8786-0B5473BFDB41}"/>
                </a:ext>
              </a:extLst>
            </xdr:cNvPr>
            <xdr:cNvGraphicFramePr/>
          </xdr:nvGraphicFramePr>
          <xdr:xfrm>
            <a:off x="0" y="0"/>
            <a:ext cx="0" cy="0"/>
          </xdr:xfrm>
          <a:graphic>
            <a:graphicData uri="http://schemas.microsoft.com/office/drawing/2010/slicer">
              <sle:slicer xmlns:sle="http://schemas.microsoft.com/office/drawing/2010/slicer" name="Semester"/>
            </a:graphicData>
          </a:graphic>
        </xdr:graphicFrame>
      </mc:Choice>
      <mc:Fallback xmlns="">
        <xdr:sp macro="" textlink="">
          <xdr:nvSpPr>
            <xdr:cNvPr id="0" name=""/>
            <xdr:cNvSpPr>
              <a:spLocks noTextEdit="1"/>
            </xdr:cNvSpPr>
          </xdr:nvSpPr>
          <xdr:spPr>
            <a:xfrm>
              <a:off x="6804660" y="2415540"/>
              <a:ext cx="2346960" cy="3467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129540</xdr:colOff>
      <xdr:row>13</xdr:row>
      <xdr:rowOff>83820</xdr:rowOff>
    </xdr:from>
    <xdr:to>
      <xdr:col>10</xdr:col>
      <xdr:colOff>548640</xdr:colOff>
      <xdr:row>33</xdr:row>
      <xdr:rowOff>0</xdr:rowOff>
    </xdr:to>
    <xdr:graphicFrame macro="">
      <xdr:nvGraphicFramePr>
        <xdr:cNvPr id="2" name="Chart 1">
          <a:extLst>
            <a:ext uri="{FF2B5EF4-FFF2-40B4-BE49-F238E27FC236}">
              <a16:creationId xmlns:a16="http://schemas.microsoft.com/office/drawing/2014/main" id="{53CA6771-34B6-47D7-BC75-B803EF268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121920</xdr:colOff>
      <xdr:row>3</xdr:row>
      <xdr:rowOff>30480</xdr:rowOff>
    </xdr:from>
    <xdr:to>
      <xdr:col>9</xdr:col>
      <xdr:colOff>175260</xdr:colOff>
      <xdr:row>17</xdr:row>
      <xdr:rowOff>129540</xdr:rowOff>
    </xdr:to>
    <xdr:graphicFrame macro="">
      <xdr:nvGraphicFramePr>
        <xdr:cNvPr id="2" name="Chart 1">
          <a:extLst>
            <a:ext uri="{FF2B5EF4-FFF2-40B4-BE49-F238E27FC236}">
              <a16:creationId xmlns:a16="http://schemas.microsoft.com/office/drawing/2014/main" id="{2C427EBC-1B7F-40D9-9B18-B5BE0324C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487680</xdr:colOff>
      <xdr:row>3</xdr:row>
      <xdr:rowOff>115152</xdr:rowOff>
    </xdr:from>
    <xdr:to>
      <xdr:col>22</xdr:col>
      <xdr:colOff>259080</xdr:colOff>
      <xdr:row>18</xdr:row>
      <xdr:rowOff>52065</xdr:rowOff>
    </xdr:to>
    <xdr:pic>
      <xdr:nvPicPr>
        <xdr:cNvPr id="10" name="Picture 9">
          <a:extLst>
            <a:ext uri="{FF2B5EF4-FFF2-40B4-BE49-F238E27FC236}">
              <a16:creationId xmlns:a16="http://schemas.microsoft.com/office/drawing/2014/main" id="{5BEE5E9E-D17F-4AD0-A6D2-7EEAE06735CE}"/>
            </a:ext>
          </a:extLst>
        </xdr:cNvPr>
        <xdr:cNvPicPr>
          <a:picLocks noChangeAspect="1"/>
        </xdr:cNvPicPr>
      </xdr:nvPicPr>
      <xdr:blipFill>
        <a:blip xmlns:r="http://schemas.openxmlformats.org/officeDocument/2006/relationships" r:embed="rId2"/>
        <a:stretch>
          <a:fillRect/>
        </a:stretch>
      </xdr:blipFill>
      <xdr:spPr>
        <a:xfrm>
          <a:off x="8412480" y="663792"/>
          <a:ext cx="5257800" cy="2680113"/>
        </a:xfrm>
        <a:prstGeom prst="rect">
          <a:avLst/>
        </a:prstGeom>
      </xdr:spPr>
    </xdr:pic>
    <xdr:clientData/>
  </xdr:twoCellAnchor>
  <xdr:twoCellAnchor>
    <xdr:from>
      <xdr:col>0</xdr:col>
      <xdr:colOff>335280</xdr:colOff>
      <xdr:row>17</xdr:row>
      <xdr:rowOff>144780</xdr:rowOff>
    </xdr:from>
    <xdr:to>
      <xdr:col>9</xdr:col>
      <xdr:colOff>190500</xdr:colOff>
      <xdr:row>31</xdr:row>
      <xdr:rowOff>167640</xdr:rowOff>
    </xdr:to>
    <xdr:graphicFrame macro="">
      <xdr:nvGraphicFramePr>
        <xdr:cNvPr id="11" name="Chart 10">
          <a:extLst>
            <a:ext uri="{FF2B5EF4-FFF2-40B4-BE49-F238E27FC236}">
              <a16:creationId xmlns:a16="http://schemas.microsoft.com/office/drawing/2014/main" id="{B796304E-5CE9-4FB5-A0C5-5F1D6822A4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327660</xdr:colOff>
      <xdr:row>18</xdr:row>
      <xdr:rowOff>152400</xdr:rowOff>
    </xdr:from>
    <xdr:to>
      <xdr:col>13</xdr:col>
      <xdr:colOff>327660</xdr:colOff>
      <xdr:row>32</xdr:row>
      <xdr:rowOff>59055</xdr:rowOff>
    </xdr:to>
    <mc:AlternateContent xmlns:mc="http://schemas.openxmlformats.org/markup-compatibility/2006" xmlns:a14="http://schemas.microsoft.com/office/drawing/2010/main">
      <mc:Choice Requires="a14">
        <xdr:graphicFrame macro="">
          <xdr:nvGraphicFramePr>
            <xdr:cNvPr id="4" name="Semester 2">
              <a:extLst>
                <a:ext uri="{FF2B5EF4-FFF2-40B4-BE49-F238E27FC236}">
                  <a16:creationId xmlns:a16="http://schemas.microsoft.com/office/drawing/2014/main" id="{0FD659AC-C732-43DA-BF1A-97FEF113CE09}"/>
                </a:ext>
              </a:extLst>
            </xdr:cNvPr>
            <xdr:cNvGraphicFramePr/>
          </xdr:nvGraphicFramePr>
          <xdr:xfrm>
            <a:off x="0" y="0"/>
            <a:ext cx="0" cy="0"/>
          </xdr:xfrm>
          <a:graphic>
            <a:graphicData uri="http://schemas.microsoft.com/office/drawing/2010/slicer">
              <sle:slicer xmlns:sle="http://schemas.microsoft.com/office/drawing/2010/slicer" name="Semester 2"/>
            </a:graphicData>
          </a:graphic>
        </xdr:graphicFrame>
      </mc:Choice>
      <mc:Fallback xmlns="">
        <xdr:sp macro="" textlink="">
          <xdr:nvSpPr>
            <xdr:cNvPr id="0" name=""/>
            <xdr:cNvSpPr>
              <a:spLocks noTextEdit="1"/>
            </xdr:cNvSpPr>
          </xdr:nvSpPr>
          <xdr:spPr>
            <a:xfrm>
              <a:off x="6423660" y="3444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7620</xdr:colOff>
      <xdr:row>0</xdr:row>
      <xdr:rowOff>167640</xdr:rowOff>
    </xdr:from>
    <xdr:to>
      <xdr:col>16</xdr:col>
      <xdr:colOff>68580</xdr:colOff>
      <xdr:row>3</xdr:row>
      <xdr:rowOff>83820</xdr:rowOff>
    </xdr:to>
    <xdr:sp macro="" textlink="">
      <xdr:nvSpPr>
        <xdr:cNvPr id="3" name="TextBox 2">
          <a:extLst>
            <a:ext uri="{FF2B5EF4-FFF2-40B4-BE49-F238E27FC236}">
              <a16:creationId xmlns:a16="http://schemas.microsoft.com/office/drawing/2014/main" id="{22F2647B-D49B-9E3D-1A7A-784F5FEFE967}"/>
            </a:ext>
          </a:extLst>
        </xdr:cNvPr>
        <xdr:cNvSpPr txBox="1"/>
      </xdr:nvSpPr>
      <xdr:spPr>
        <a:xfrm>
          <a:off x="4274820" y="167640"/>
          <a:ext cx="5547360" cy="464820"/>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latin typeface="Segoe UI Black" panose="020B0A02040204020203" pitchFamily="34" charset="0"/>
              <a:ea typeface="Segoe UI Black" panose="020B0A02040204020203" pitchFamily="34" charset="0"/>
            </a:rPr>
            <a:t> </a:t>
          </a:r>
          <a:r>
            <a:rPr lang="en-IN" sz="1600" b="1" u="sng">
              <a:solidFill>
                <a:schemeClr val="bg1"/>
              </a:solidFill>
              <a:latin typeface="Segoe UI Black" panose="020B0A02040204020203" pitchFamily="34" charset="0"/>
              <a:ea typeface="Segoe UI Black" panose="020B0A02040204020203" pitchFamily="34" charset="0"/>
            </a:rPr>
            <a:t>"ACADEMIC HEALTH OVERVIEW DASHBOARD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nu Yaswanth" refreshedDate="46120.917394212964" createdVersion="8" refreshedVersion="8" minRefreshableVersion="3" recordCount="600" xr:uid="{38A84A1A-F4C4-4EAD-9DC2-BDEC2C532990}">
  <cacheSource type="worksheet">
    <worksheetSource ref="A1:N601" sheet="STUDENT PERFORMANCE"/>
  </cacheSource>
  <cacheFields count="14">
    <cacheField name="Student ID" numFmtId="0">
      <sharedItems/>
    </cacheField>
    <cacheField name="Student_Name" numFmtId="0">
      <sharedItems count="188">
        <s v="Anika Reddy"/>
        <s v="Vivaan Iyer"/>
        <s v="Anika Sharma"/>
        <s v="Anika Patel"/>
        <s v="Krishna Sharma"/>
        <s v="Aditya Kumar"/>
        <s v="Diya Patel"/>
        <s v="Saanvi Nair"/>
        <s v="Sai Verma"/>
        <s v="Sai Kumar"/>
        <s v="Aarav Nair"/>
        <s v="Saanvi Kumar"/>
        <s v="Vivaan Nair"/>
        <s v="Pooja Gupta"/>
        <s v="Vivaan Reddy"/>
        <s v="Krishna Kumar"/>
        <s v="Diya Iyer"/>
        <s v="Pooja Rao"/>
        <s v="Ira Mehta"/>
        <s v="Aarav Mehta"/>
        <s v="Diya Gupta"/>
        <s v="Diya Kumar"/>
        <s v="Krishna Rao"/>
        <s v="Arjun Nair"/>
        <s v="Arjun Gupta"/>
        <s v="Vivaan Patel"/>
        <s v="Ira Gupta"/>
        <s v="Sneha Sharma"/>
        <s v="Krishna Nair"/>
        <s v="Myra Gupta"/>
        <s v="Reyansh Nair"/>
        <s v="Riya Kumar"/>
        <s v="Sai Reddy"/>
        <s v="Ananya Sharma"/>
        <s v="Aadhya Rao"/>
        <s v="Sneha Mehta"/>
        <s v="Rohan Kumar"/>
        <s v="Vivaan Kumar"/>
        <s v="Reyansh Gupta"/>
        <s v="Vihaan Mehta"/>
        <s v="Riya Rao"/>
        <s v="Myra Rao"/>
        <s v="Reyansh Reddy"/>
        <s v="Rohan Rao"/>
        <s v="Pooja Verma"/>
        <s v="Reyansh Kumar"/>
        <s v="Ira Reddy"/>
        <s v="Pooja Kumar"/>
        <s v="Ishaan Nair"/>
        <s v="Ishaan Patel"/>
        <s v="Aadhya Mehta"/>
        <s v="Krishna Verma"/>
        <s v="Sai Rao"/>
        <s v="Myra Kumar"/>
        <s v="Aditya Mehta"/>
        <s v="Vihaan Nair"/>
        <s v="Aditya Nair"/>
        <s v="Ira Iyer"/>
        <s v="Riya Reddy"/>
        <s v="Ishaan Rao"/>
        <s v="Ananya Verma"/>
        <s v="Anika Rao"/>
        <s v="Pooja Reddy"/>
        <s v="Diya Rao"/>
        <s v="Saanvi Reddy"/>
        <s v="Arjun Patel"/>
        <s v="Ishaan Kumar"/>
        <s v="Ananya Kumar"/>
        <s v="Rohan Verma"/>
        <s v="Pooja Iyer"/>
        <s v="Aadhya Sharma"/>
        <s v="Vivaan Verma"/>
        <s v="Arjun Iyer"/>
        <s v="Aarav Iyer"/>
        <s v="Ira Sharma"/>
        <s v="Myra Reddy"/>
        <s v="Riya Mehta"/>
        <s v="Diya Verma"/>
        <s v="Saanvi Gupta"/>
        <s v="Reyansh Rao"/>
        <s v="Vihaan Sharma"/>
        <s v="Vihaan Patel"/>
        <s v="Riya Verma"/>
        <s v="Krishna Iyer"/>
        <s v="Arjun Verma"/>
        <s v="Riya Gupta"/>
        <s v="Aarav Sharma"/>
        <s v="Sai Sharma"/>
        <s v="Diya Mehta"/>
        <s v="Anika Iyer"/>
        <s v="Krishna Patel"/>
        <s v="Reyansh Patel"/>
        <s v="Sai Mehta"/>
        <s v="Anika Kumar"/>
        <s v="Saanvi Iyer"/>
        <s v="Arjun Sharma"/>
        <s v="Ira Kumar"/>
        <s v="Myra Mehta"/>
        <s v="Ishaan Reddy"/>
        <s v="Rohan Nair"/>
        <s v="Vivaan Rao"/>
        <s v="Krishna Gupta"/>
        <s v="Aditya Iyer"/>
        <s v="Sneha Reddy"/>
        <s v="Sneha Kumar"/>
        <s v="Ananya Iyer"/>
        <s v="Aarav Reddy"/>
        <s v="Diya Nair"/>
        <s v="Rohan Gupta"/>
        <s v="Aditya Gupta"/>
        <s v="Ira Patel"/>
        <s v="Vihaan Gupta"/>
        <s v="Sneha Gupta"/>
        <s v="Ishaan Gupta"/>
        <s v="Aadhya Reddy"/>
        <s v="Sneha Rao"/>
        <s v="Ananya Nair"/>
        <s v="Anika Nair"/>
        <s v="Vivaan Gupta"/>
        <s v="Aditya Reddy"/>
        <s v="Krishna Reddy"/>
        <s v="Riya Patel"/>
        <s v="Reyansh Mehta"/>
        <s v="Aditya Patel"/>
        <s v="Arjun Kumar"/>
        <s v="Aditya Rao"/>
        <s v="Myra Verma"/>
        <s v="Arjun Rao"/>
        <s v="Diya Reddy"/>
        <s v="Aarav Patel"/>
        <s v="Ishaan Iyer"/>
        <s v="Aarav Rao"/>
        <s v="Diya Sharma"/>
        <s v="Reyansh Iyer"/>
        <s v="Anika Gupta"/>
        <s v="Rohan Patel"/>
        <s v="Pooja Patel"/>
        <s v="Saanvi Sharma"/>
        <s v="Riya Iyer"/>
        <s v="Ananya Patel"/>
        <s v="Aarav Gupta"/>
        <s v="Aadhya Verma"/>
        <s v="Riya Sharma"/>
        <s v="Myra Patel"/>
        <s v="Sneha Iyer"/>
        <s v="Sneha Nair"/>
        <s v="Myra Nair"/>
        <s v="Sai Nair"/>
        <s v="Saanvi Rao"/>
        <s v="Ishaan Verma"/>
        <s v="Rohan Sharma"/>
        <s v="Aditya Verma"/>
        <s v="Ira Rao"/>
        <s v="Rohan Iyer"/>
        <s v="Aadhya Kumar"/>
        <s v="Myra Sharma"/>
        <s v="Vihaan Iyer"/>
        <s v="Vivaan Sharma"/>
        <s v="Ira Nair"/>
        <s v="Saanvi Mehta"/>
        <s v="Myra Iyer"/>
        <s v="Ishaan Mehta"/>
        <s v="Sneha Patel"/>
        <s v="Saanvi Verma"/>
        <s v="Aadhya Gupta"/>
        <s v="Aadhya Iyer"/>
        <s v="Saanvi Patel"/>
        <s v="Sai Patel"/>
        <s v="Arjun Reddy"/>
        <s v="Reyansh Verma"/>
        <s v="Riya Nair"/>
        <s v="Sai Gupta"/>
        <s v="Ananya Reddy"/>
        <s v="Ishaan Sharma"/>
        <s v="Ananya Mehta"/>
        <s v="Sai Iyer"/>
        <s v="Ananya Gupta"/>
        <s v="Vihaan Kumar"/>
        <s v="Aarav Kumar"/>
        <s v="Arjun Mehta"/>
        <s v="Rohan Reddy"/>
        <s v="Aadhya Patel"/>
        <s v="Vivaan Mehta"/>
        <s v="Sneha Verma"/>
        <s v="Pooja Sharma"/>
        <s v="Ananya Rao"/>
        <s v="Pooja Nair"/>
        <s v="Krishna Mehta"/>
      </sharedItems>
    </cacheField>
    <cacheField name="Gender" numFmtId="0">
      <sharedItems count="2">
        <s v="Male"/>
        <s v="Female"/>
      </sharedItems>
    </cacheField>
    <cacheField name="Age" numFmtId="0">
      <sharedItems containsSemiMixedTypes="0" containsString="0" containsNumber="1" containsInteger="1" minValue="18" maxValue="23"/>
    </cacheField>
    <cacheField name="Course" numFmtId="0">
      <sharedItems count="5">
        <s v="BCA"/>
        <s v="BSc"/>
        <s v="BBA"/>
        <s v="BCom"/>
        <s v="BA"/>
      </sharedItems>
    </cacheField>
    <cacheField name="Semester" numFmtId="0">
      <sharedItems containsSemiMixedTypes="0" containsString="0" containsNumber="1" containsInteger="1" minValue="1" maxValue="6" count="6">
        <n v="1"/>
        <n v="5"/>
        <n v="6"/>
        <n v="2"/>
        <n v="3"/>
        <n v="4"/>
      </sharedItems>
    </cacheField>
    <cacheField name="Marks_communication skills" numFmtId="0">
      <sharedItems containsSemiMixedTypes="0" containsString="0" containsNumber="1" containsInteger="1" minValue="35" maxValue="100"/>
    </cacheField>
    <cacheField name="Marks_Sanskrit" numFmtId="0">
      <sharedItems containsSemiMixedTypes="0" containsString="0" containsNumber="1" containsInteger="1" minValue="35" maxValue="100"/>
    </cacheField>
    <cacheField name="Marks_English" numFmtId="0">
      <sharedItems containsSemiMixedTypes="0" containsString="0" containsNumber="1" containsInteger="1" minValue="35" maxValue="100"/>
    </cacheField>
    <cacheField name="Attendance_Percentage" numFmtId="0">
      <sharedItems containsSemiMixedTypes="0" containsString="0" containsNumber="1" minValue="60.04" maxValue="99.99"/>
    </cacheField>
    <cacheField name="Grade" numFmtId="0">
      <sharedItems/>
    </cacheField>
    <cacheField name="Average score" numFmtId="2">
      <sharedItems containsSemiMixedTypes="0" containsString="0" containsNumber="1" minValue="37" maxValue="92.666666666666671"/>
    </cacheField>
    <cacheField name="Pass/Fail" numFmtId="0">
      <sharedItems count="2">
        <s v="Pass"/>
        <s v="Fail"/>
      </sharedItems>
    </cacheField>
    <cacheField name="Intervention" numFmtId="0">
      <sharedItems count="3">
        <s v="Stable"/>
        <s v="High Risk"/>
        <s v="Monitor"/>
      </sharedItems>
    </cacheField>
  </cacheFields>
  <extLst>
    <ext xmlns:x14="http://schemas.microsoft.com/office/spreadsheetml/2009/9/main" uri="{725AE2AE-9491-48be-B2B4-4EB974FC3084}">
      <x14:pivotCacheDefinition pivotCacheId="3493204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s v="STU1001"/>
    <x v="0"/>
    <x v="0"/>
    <n v="23"/>
    <x v="0"/>
    <x v="0"/>
    <n v="46"/>
    <n v="98"/>
    <n v="100"/>
    <n v="81.69"/>
    <s v="A"/>
    <n v="81.333333333333329"/>
    <x v="0"/>
    <x v="0"/>
  </r>
  <r>
    <s v="STU1002"/>
    <x v="1"/>
    <x v="1"/>
    <n v="21"/>
    <x v="0"/>
    <x v="1"/>
    <n v="39"/>
    <n v="55"/>
    <n v="87"/>
    <n v="63.37"/>
    <s v="C"/>
    <n v="60.333333333333336"/>
    <x v="1"/>
    <x v="1"/>
  </r>
  <r>
    <s v="STU1003"/>
    <x v="2"/>
    <x v="1"/>
    <n v="21"/>
    <x v="0"/>
    <x v="0"/>
    <n v="79"/>
    <n v="59"/>
    <n v="69"/>
    <n v="97.38"/>
    <s v="C"/>
    <n v="69"/>
    <x v="0"/>
    <x v="0"/>
  </r>
  <r>
    <s v="STU1004"/>
    <x v="3"/>
    <x v="0"/>
    <n v="22"/>
    <x v="1"/>
    <x v="2"/>
    <n v="86"/>
    <n v="94"/>
    <n v="55"/>
    <n v="99.91"/>
    <s v="B"/>
    <n v="78.333333333333329"/>
    <x v="0"/>
    <x v="0"/>
  </r>
  <r>
    <s v="STU1005"/>
    <x v="4"/>
    <x v="1"/>
    <n v="21"/>
    <x v="1"/>
    <x v="1"/>
    <n v="41"/>
    <n v="47"/>
    <n v="87"/>
    <n v="85.78"/>
    <s v="D"/>
    <n v="58.333333333333336"/>
    <x v="0"/>
    <x v="2"/>
  </r>
  <r>
    <s v="STU1006"/>
    <x v="5"/>
    <x v="1"/>
    <n v="22"/>
    <x v="2"/>
    <x v="1"/>
    <n v="90"/>
    <n v="68"/>
    <n v="77"/>
    <n v="63.02"/>
    <s v="B"/>
    <n v="78.333333333333329"/>
    <x v="0"/>
    <x v="0"/>
  </r>
  <r>
    <s v="STU1007"/>
    <x v="6"/>
    <x v="1"/>
    <n v="20"/>
    <x v="3"/>
    <x v="3"/>
    <n v="59"/>
    <n v="54"/>
    <n v="64"/>
    <n v="72.66"/>
    <s v="D"/>
    <n v="59"/>
    <x v="0"/>
    <x v="2"/>
  </r>
  <r>
    <s v="STU1008"/>
    <x v="7"/>
    <x v="1"/>
    <n v="21"/>
    <x v="1"/>
    <x v="1"/>
    <n v="97"/>
    <n v="35"/>
    <n v="67"/>
    <n v="64.33"/>
    <s v="C"/>
    <n v="66.333333333333329"/>
    <x v="1"/>
    <x v="1"/>
  </r>
  <r>
    <s v="STU1009"/>
    <x v="8"/>
    <x v="1"/>
    <n v="20"/>
    <x v="1"/>
    <x v="1"/>
    <n v="39"/>
    <n v="81"/>
    <n v="52"/>
    <n v="96.28"/>
    <s v="D"/>
    <n v="57.333333333333336"/>
    <x v="1"/>
    <x v="1"/>
  </r>
  <r>
    <s v="STU1010"/>
    <x v="9"/>
    <x v="0"/>
    <n v="18"/>
    <x v="1"/>
    <x v="4"/>
    <n v="74"/>
    <n v="93"/>
    <n v="72"/>
    <n v="81.510000000000005"/>
    <s v="B"/>
    <n v="79.666666666666671"/>
    <x v="0"/>
    <x v="0"/>
  </r>
  <r>
    <s v="STU1011"/>
    <x v="10"/>
    <x v="0"/>
    <n v="18"/>
    <x v="2"/>
    <x v="3"/>
    <n v="70"/>
    <n v="58"/>
    <n v="85"/>
    <n v="99.73"/>
    <s v="B"/>
    <n v="71"/>
    <x v="0"/>
    <x v="0"/>
  </r>
  <r>
    <s v="STU1012"/>
    <x v="11"/>
    <x v="1"/>
    <n v="18"/>
    <x v="2"/>
    <x v="3"/>
    <n v="82"/>
    <n v="38"/>
    <n v="67"/>
    <n v="98.12"/>
    <s v="C"/>
    <n v="62.333333333333336"/>
    <x v="1"/>
    <x v="1"/>
  </r>
  <r>
    <s v="STU1013"/>
    <x v="12"/>
    <x v="1"/>
    <n v="20"/>
    <x v="4"/>
    <x v="3"/>
    <n v="62"/>
    <n v="35"/>
    <n v="88"/>
    <n v="88.95"/>
    <s v="C"/>
    <n v="61.666666666666664"/>
    <x v="1"/>
    <x v="1"/>
  </r>
  <r>
    <s v="STU1014"/>
    <x v="13"/>
    <x v="1"/>
    <n v="19"/>
    <x v="0"/>
    <x v="5"/>
    <n v="85"/>
    <n v="40"/>
    <n v="71"/>
    <n v="66.69"/>
    <s v="C"/>
    <n v="65.333333333333329"/>
    <x v="0"/>
    <x v="0"/>
  </r>
  <r>
    <s v="STU1015"/>
    <x v="14"/>
    <x v="0"/>
    <n v="23"/>
    <x v="1"/>
    <x v="5"/>
    <n v="41"/>
    <n v="44"/>
    <n v="56"/>
    <n v="62.59"/>
    <s v="F"/>
    <n v="47"/>
    <x v="0"/>
    <x v="2"/>
  </r>
  <r>
    <s v="STU1016"/>
    <x v="15"/>
    <x v="1"/>
    <n v="22"/>
    <x v="2"/>
    <x v="1"/>
    <n v="80"/>
    <n v="43"/>
    <n v="82"/>
    <n v="95.74"/>
    <s v="C"/>
    <n v="68.333333333333329"/>
    <x v="0"/>
    <x v="0"/>
  </r>
  <r>
    <s v="STU1017"/>
    <x v="16"/>
    <x v="0"/>
    <n v="21"/>
    <x v="1"/>
    <x v="1"/>
    <n v="93"/>
    <n v="94"/>
    <n v="61"/>
    <n v="75.95"/>
    <s v="A"/>
    <n v="82.666666666666671"/>
    <x v="0"/>
    <x v="0"/>
  </r>
  <r>
    <s v="STU1018"/>
    <x v="15"/>
    <x v="1"/>
    <n v="19"/>
    <x v="3"/>
    <x v="3"/>
    <n v="49"/>
    <n v="62"/>
    <n v="99"/>
    <n v="67.849999999999994"/>
    <s v="B"/>
    <n v="70"/>
    <x v="0"/>
    <x v="0"/>
  </r>
  <r>
    <s v="STU1019"/>
    <x v="17"/>
    <x v="1"/>
    <n v="19"/>
    <x v="2"/>
    <x v="3"/>
    <n v="66"/>
    <n v="64"/>
    <n v="48"/>
    <n v="89.85"/>
    <s v="D"/>
    <n v="59.333333333333336"/>
    <x v="0"/>
    <x v="2"/>
  </r>
  <r>
    <s v="STU1020"/>
    <x v="2"/>
    <x v="0"/>
    <n v="21"/>
    <x v="0"/>
    <x v="1"/>
    <n v="52"/>
    <n v="72"/>
    <n v="85"/>
    <n v="87.33"/>
    <s v="C"/>
    <n v="69.666666666666671"/>
    <x v="0"/>
    <x v="0"/>
  </r>
  <r>
    <s v="STU1021"/>
    <x v="14"/>
    <x v="1"/>
    <n v="23"/>
    <x v="4"/>
    <x v="4"/>
    <n v="59"/>
    <n v="91"/>
    <n v="81"/>
    <n v="80.44"/>
    <s v="B"/>
    <n v="77"/>
    <x v="0"/>
    <x v="0"/>
  </r>
  <r>
    <s v="STU1022"/>
    <x v="18"/>
    <x v="0"/>
    <n v="23"/>
    <x v="1"/>
    <x v="2"/>
    <n v="59"/>
    <n v="85"/>
    <n v="37"/>
    <n v="72.03"/>
    <s v="C"/>
    <n v="60.333333333333336"/>
    <x v="1"/>
    <x v="1"/>
  </r>
  <r>
    <s v="STU1023"/>
    <x v="19"/>
    <x v="0"/>
    <n v="21"/>
    <x v="4"/>
    <x v="3"/>
    <n v="47"/>
    <n v="52"/>
    <n v="65"/>
    <n v="88.49"/>
    <s v="D"/>
    <n v="54.666666666666664"/>
    <x v="0"/>
    <x v="2"/>
  </r>
  <r>
    <s v="STU1024"/>
    <x v="20"/>
    <x v="1"/>
    <n v="19"/>
    <x v="4"/>
    <x v="2"/>
    <n v="87"/>
    <n v="71"/>
    <n v="36"/>
    <n v="65.42"/>
    <s v="C"/>
    <n v="64.666666666666671"/>
    <x v="1"/>
    <x v="1"/>
  </r>
  <r>
    <s v="STU1025"/>
    <x v="21"/>
    <x v="0"/>
    <n v="18"/>
    <x v="1"/>
    <x v="5"/>
    <n v="80"/>
    <n v="73"/>
    <n v="55"/>
    <n v="92.11"/>
    <s v="C"/>
    <n v="69.333333333333329"/>
    <x v="0"/>
    <x v="0"/>
  </r>
  <r>
    <s v="STU1026"/>
    <x v="22"/>
    <x v="1"/>
    <n v="21"/>
    <x v="4"/>
    <x v="0"/>
    <n v="80"/>
    <n v="90"/>
    <n v="82"/>
    <n v="64.02"/>
    <s v="A"/>
    <n v="84"/>
    <x v="0"/>
    <x v="0"/>
  </r>
  <r>
    <s v="STU1027"/>
    <x v="23"/>
    <x v="1"/>
    <n v="22"/>
    <x v="1"/>
    <x v="4"/>
    <n v="46"/>
    <n v="47"/>
    <n v="63"/>
    <n v="64.2"/>
    <s v="D"/>
    <n v="52"/>
    <x v="0"/>
    <x v="2"/>
  </r>
  <r>
    <s v="STU1028"/>
    <x v="24"/>
    <x v="1"/>
    <n v="21"/>
    <x v="0"/>
    <x v="4"/>
    <n v="35"/>
    <n v="98"/>
    <n v="49"/>
    <n v="67.22"/>
    <s v="C"/>
    <n v="60.666666666666664"/>
    <x v="1"/>
    <x v="1"/>
  </r>
  <r>
    <s v="STU1029"/>
    <x v="25"/>
    <x v="1"/>
    <n v="20"/>
    <x v="2"/>
    <x v="5"/>
    <n v="61"/>
    <n v="86"/>
    <n v="93"/>
    <n v="93.35"/>
    <s v="A"/>
    <n v="80"/>
    <x v="0"/>
    <x v="0"/>
  </r>
  <r>
    <s v="STU1030"/>
    <x v="26"/>
    <x v="1"/>
    <n v="18"/>
    <x v="4"/>
    <x v="2"/>
    <n v="76"/>
    <n v="60"/>
    <n v="66"/>
    <n v="75.52"/>
    <s v="C"/>
    <n v="67.333333333333329"/>
    <x v="0"/>
    <x v="0"/>
  </r>
  <r>
    <s v="STU1031"/>
    <x v="27"/>
    <x v="0"/>
    <n v="19"/>
    <x v="0"/>
    <x v="5"/>
    <n v="35"/>
    <n v="78"/>
    <n v="72"/>
    <n v="82.9"/>
    <s v="C"/>
    <n v="61.666666666666664"/>
    <x v="1"/>
    <x v="1"/>
  </r>
  <r>
    <s v="STU1032"/>
    <x v="4"/>
    <x v="1"/>
    <n v="23"/>
    <x v="0"/>
    <x v="5"/>
    <n v="66"/>
    <n v="68"/>
    <n v="68"/>
    <n v="88.38"/>
    <s v="C"/>
    <n v="67.333333333333329"/>
    <x v="0"/>
    <x v="0"/>
  </r>
  <r>
    <s v="STU1033"/>
    <x v="28"/>
    <x v="1"/>
    <n v="23"/>
    <x v="1"/>
    <x v="1"/>
    <n v="74"/>
    <n v="37"/>
    <n v="98"/>
    <n v="89.24"/>
    <s v="C"/>
    <n v="69.666666666666671"/>
    <x v="1"/>
    <x v="1"/>
  </r>
  <r>
    <s v="STU1034"/>
    <x v="29"/>
    <x v="1"/>
    <n v="20"/>
    <x v="1"/>
    <x v="0"/>
    <n v="59"/>
    <n v="48"/>
    <n v="44"/>
    <n v="69.41"/>
    <s v="D"/>
    <n v="50.333333333333336"/>
    <x v="0"/>
    <x v="2"/>
  </r>
  <r>
    <s v="STU1035"/>
    <x v="30"/>
    <x v="1"/>
    <n v="20"/>
    <x v="1"/>
    <x v="5"/>
    <n v="83"/>
    <n v="47"/>
    <n v="63"/>
    <n v="95.29"/>
    <s v="C"/>
    <n v="64.333333333333329"/>
    <x v="0"/>
    <x v="0"/>
  </r>
  <r>
    <s v="STU1036"/>
    <x v="31"/>
    <x v="1"/>
    <n v="21"/>
    <x v="4"/>
    <x v="5"/>
    <n v="55"/>
    <n v="63"/>
    <n v="72"/>
    <n v="67.03"/>
    <s v="C"/>
    <n v="63.333333333333336"/>
    <x v="0"/>
    <x v="0"/>
  </r>
  <r>
    <s v="STU1037"/>
    <x v="32"/>
    <x v="1"/>
    <n v="19"/>
    <x v="1"/>
    <x v="3"/>
    <n v="44"/>
    <n v="47"/>
    <n v="83"/>
    <n v="89.92"/>
    <s v="D"/>
    <n v="58"/>
    <x v="0"/>
    <x v="2"/>
  </r>
  <r>
    <s v="STU1038"/>
    <x v="33"/>
    <x v="1"/>
    <n v="23"/>
    <x v="0"/>
    <x v="5"/>
    <n v="49"/>
    <n v="71"/>
    <n v="76"/>
    <n v="93.84"/>
    <s v="C"/>
    <n v="65.333333333333329"/>
    <x v="0"/>
    <x v="0"/>
  </r>
  <r>
    <s v="STU1039"/>
    <x v="26"/>
    <x v="0"/>
    <n v="22"/>
    <x v="4"/>
    <x v="4"/>
    <n v="77"/>
    <n v="78"/>
    <n v="57"/>
    <n v="67.08"/>
    <s v="B"/>
    <n v="70.666666666666671"/>
    <x v="0"/>
    <x v="0"/>
  </r>
  <r>
    <s v="STU1040"/>
    <x v="34"/>
    <x v="1"/>
    <n v="19"/>
    <x v="1"/>
    <x v="3"/>
    <n v="62"/>
    <n v="50"/>
    <n v="53"/>
    <n v="98.71"/>
    <s v="D"/>
    <n v="55"/>
    <x v="0"/>
    <x v="2"/>
  </r>
  <r>
    <s v="STU1041"/>
    <x v="24"/>
    <x v="0"/>
    <n v="20"/>
    <x v="2"/>
    <x v="1"/>
    <n v="69"/>
    <n v="62"/>
    <n v="53"/>
    <n v="64.430000000000007"/>
    <s v="C"/>
    <n v="61.333333333333336"/>
    <x v="0"/>
    <x v="0"/>
  </r>
  <r>
    <s v="STU1042"/>
    <x v="35"/>
    <x v="0"/>
    <n v="19"/>
    <x v="4"/>
    <x v="3"/>
    <n v="49"/>
    <n v="54"/>
    <n v="82"/>
    <n v="79.87"/>
    <s v="C"/>
    <n v="61.666666666666664"/>
    <x v="0"/>
    <x v="0"/>
  </r>
  <r>
    <s v="STU1043"/>
    <x v="36"/>
    <x v="1"/>
    <n v="21"/>
    <x v="1"/>
    <x v="1"/>
    <n v="85"/>
    <n v="86"/>
    <n v="70"/>
    <n v="69.959999999999994"/>
    <s v="A"/>
    <n v="80.333333333333329"/>
    <x v="0"/>
    <x v="0"/>
  </r>
  <r>
    <s v="STU1044"/>
    <x v="37"/>
    <x v="1"/>
    <n v="19"/>
    <x v="4"/>
    <x v="0"/>
    <n v="69"/>
    <n v="54"/>
    <n v="67"/>
    <n v="95.99"/>
    <s v="C"/>
    <n v="63.333333333333336"/>
    <x v="0"/>
    <x v="0"/>
  </r>
  <r>
    <s v="STU1045"/>
    <x v="38"/>
    <x v="0"/>
    <n v="21"/>
    <x v="4"/>
    <x v="0"/>
    <n v="78"/>
    <n v="53"/>
    <n v="94"/>
    <n v="67.95"/>
    <s v="B"/>
    <n v="75"/>
    <x v="0"/>
    <x v="0"/>
  </r>
  <r>
    <s v="STU1046"/>
    <x v="39"/>
    <x v="1"/>
    <n v="23"/>
    <x v="4"/>
    <x v="5"/>
    <n v="77"/>
    <n v="38"/>
    <n v="84"/>
    <n v="76.510000000000005"/>
    <s v="C"/>
    <n v="66.333333333333329"/>
    <x v="1"/>
    <x v="1"/>
  </r>
  <r>
    <s v="STU1047"/>
    <x v="40"/>
    <x v="0"/>
    <n v="20"/>
    <x v="4"/>
    <x v="0"/>
    <n v="70"/>
    <n v="79"/>
    <n v="48"/>
    <n v="69.650000000000006"/>
    <s v="C"/>
    <n v="65.666666666666671"/>
    <x v="0"/>
    <x v="0"/>
  </r>
  <r>
    <s v="STU1048"/>
    <x v="23"/>
    <x v="0"/>
    <n v="19"/>
    <x v="0"/>
    <x v="2"/>
    <n v="87"/>
    <n v="38"/>
    <n v="89"/>
    <n v="81.83"/>
    <s v="B"/>
    <n v="71.333333333333329"/>
    <x v="1"/>
    <x v="1"/>
  </r>
  <r>
    <s v="STU1049"/>
    <x v="41"/>
    <x v="1"/>
    <n v="18"/>
    <x v="1"/>
    <x v="5"/>
    <n v="91"/>
    <n v="76"/>
    <n v="79"/>
    <n v="94.7"/>
    <s v="A"/>
    <n v="82"/>
    <x v="0"/>
    <x v="0"/>
  </r>
  <r>
    <s v="STU1050"/>
    <x v="42"/>
    <x v="0"/>
    <n v="20"/>
    <x v="0"/>
    <x v="4"/>
    <n v="39"/>
    <n v="100"/>
    <n v="65"/>
    <n v="63.61"/>
    <s v="C"/>
    <n v="68"/>
    <x v="1"/>
    <x v="1"/>
  </r>
  <r>
    <s v="STU1051"/>
    <x v="2"/>
    <x v="0"/>
    <n v="19"/>
    <x v="3"/>
    <x v="4"/>
    <n v="51"/>
    <n v="75"/>
    <n v="89"/>
    <n v="86.21"/>
    <s v="B"/>
    <n v="71.666666666666671"/>
    <x v="0"/>
    <x v="0"/>
  </r>
  <r>
    <s v="STU1052"/>
    <x v="43"/>
    <x v="1"/>
    <n v="21"/>
    <x v="1"/>
    <x v="1"/>
    <n v="51"/>
    <n v="96"/>
    <n v="97"/>
    <n v="60.04"/>
    <s v="A"/>
    <n v="81.333333333333329"/>
    <x v="0"/>
    <x v="0"/>
  </r>
  <r>
    <s v="STU1053"/>
    <x v="44"/>
    <x v="0"/>
    <n v="20"/>
    <x v="0"/>
    <x v="1"/>
    <n v="82"/>
    <n v="40"/>
    <n v="87"/>
    <n v="97.95"/>
    <s v="C"/>
    <n v="69.666666666666671"/>
    <x v="0"/>
    <x v="0"/>
  </r>
  <r>
    <s v="STU1054"/>
    <x v="45"/>
    <x v="0"/>
    <n v="19"/>
    <x v="3"/>
    <x v="2"/>
    <n v="100"/>
    <n v="80"/>
    <n v="96"/>
    <n v="73.66"/>
    <s v="A+"/>
    <n v="92"/>
    <x v="0"/>
    <x v="0"/>
  </r>
  <r>
    <s v="STU1055"/>
    <x v="46"/>
    <x v="1"/>
    <n v="18"/>
    <x v="1"/>
    <x v="5"/>
    <n v="74"/>
    <n v="97"/>
    <n v="43"/>
    <n v="70.06"/>
    <s v="B"/>
    <n v="71.333333333333329"/>
    <x v="0"/>
    <x v="0"/>
  </r>
  <r>
    <s v="STU1056"/>
    <x v="47"/>
    <x v="1"/>
    <n v="19"/>
    <x v="2"/>
    <x v="5"/>
    <n v="66"/>
    <n v="77"/>
    <n v="80"/>
    <n v="65.459999999999994"/>
    <s v="B"/>
    <n v="74.333333333333329"/>
    <x v="0"/>
    <x v="0"/>
  </r>
  <r>
    <s v="STU1057"/>
    <x v="33"/>
    <x v="1"/>
    <n v="22"/>
    <x v="0"/>
    <x v="2"/>
    <n v="79"/>
    <n v="67"/>
    <n v="71"/>
    <n v="73.17"/>
    <s v="B"/>
    <n v="72.333333333333329"/>
    <x v="0"/>
    <x v="0"/>
  </r>
  <r>
    <s v="STU1058"/>
    <x v="9"/>
    <x v="1"/>
    <n v="23"/>
    <x v="1"/>
    <x v="0"/>
    <n v="74"/>
    <n v="35"/>
    <n v="85"/>
    <n v="88.52"/>
    <s v="C"/>
    <n v="64.666666666666671"/>
    <x v="1"/>
    <x v="1"/>
  </r>
  <r>
    <s v="STU1059"/>
    <x v="48"/>
    <x v="1"/>
    <n v="18"/>
    <x v="3"/>
    <x v="3"/>
    <n v="76"/>
    <n v="72"/>
    <n v="90"/>
    <n v="76.599999999999994"/>
    <s v="B"/>
    <n v="79.333333333333329"/>
    <x v="0"/>
    <x v="0"/>
  </r>
  <r>
    <s v="STU1060"/>
    <x v="49"/>
    <x v="1"/>
    <n v="19"/>
    <x v="3"/>
    <x v="1"/>
    <n v="41"/>
    <n v="50"/>
    <n v="91"/>
    <n v="67.239999999999995"/>
    <s v="C"/>
    <n v="60.666666666666664"/>
    <x v="0"/>
    <x v="0"/>
  </r>
  <r>
    <s v="STU1061"/>
    <x v="50"/>
    <x v="1"/>
    <n v="18"/>
    <x v="0"/>
    <x v="4"/>
    <n v="57"/>
    <n v="50"/>
    <n v="59"/>
    <n v="74.63"/>
    <s v="D"/>
    <n v="55.333333333333336"/>
    <x v="0"/>
    <x v="2"/>
  </r>
  <r>
    <s v="STU1062"/>
    <x v="41"/>
    <x v="1"/>
    <n v="21"/>
    <x v="1"/>
    <x v="5"/>
    <n v="71"/>
    <n v="63"/>
    <n v="74"/>
    <n v="84.19"/>
    <s v="C"/>
    <n v="69.333333333333329"/>
    <x v="0"/>
    <x v="0"/>
  </r>
  <r>
    <s v="STU1063"/>
    <x v="51"/>
    <x v="0"/>
    <n v="18"/>
    <x v="1"/>
    <x v="1"/>
    <n v="78"/>
    <n v="51"/>
    <n v="85"/>
    <n v="61.87"/>
    <s v="B"/>
    <n v="71.333333333333329"/>
    <x v="0"/>
    <x v="0"/>
  </r>
  <r>
    <s v="STU1064"/>
    <x v="52"/>
    <x v="1"/>
    <n v="23"/>
    <x v="0"/>
    <x v="5"/>
    <n v="69"/>
    <n v="80"/>
    <n v="55"/>
    <n v="82.44"/>
    <s v="C"/>
    <n v="68"/>
    <x v="0"/>
    <x v="0"/>
  </r>
  <r>
    <s v="STU1065"/>
    <x v="53"/>
    <x v="0"/>
    <n v="19"/>
    <x v="0"/>
    <x v="5"/>
    <n v="84"/>
    <n v="84"/>
    <n v="83"/>
    <n v="77.02"/>
    <s v="A"/>
    <n v="83.666666666666671"/>
    <x v="0"/>
    <x v="0"/>
  </r>
  <r>
    <s v="STU1066"/>
    <x v="54"/>
    <x v="0"/>
    <n v="18"/>
    <x v="4"/>
    <x v="5"/>
    <n v="49"/>
    <n v="47"/>
    <n v="90"/>
    <n v="67.17"/>
    <s v="C"/>
    <n v="62"/>
    <x v="0"/>
    <x v="0"/>
  </r>
  <r>
    <s v="STU1067"/>
    <x v="55"/>
    <x v="1"/>
    <n v="23"/>
    <x v="4"/>
    <x v="1"/>
    <n v="87"/>
    <n v="92"/>
    <n v="35"/>
    <n v="81.23"/>
    <s v="B"/>
    <n v="71.333333333333329"/>
    <x v="1"/>
    <x v="1"/>
  </r>
  <r>
    <s v="STU1068"/>
    <x v="56"/>
    <x v="0"/>
    <n v="20"/>
    <x v="4"/>
    <x v="2"/>
    <n v="77"/>
    <n v="99"/>
    <n v="45"/>
    <n v="78.790000000000006"/>
    <s v="B"/>
    <n v="73.666666666666671"/>
    <x v="0"/>
    <x v="0"/>
  </r>
  <r>
    <s v="STU1069"/>
    <x v="57"/>
    <x v="0"/>
    <n v="20"/>
    <x v="3"/>
    <x v="5"/>
    <n v="57"/>
    <n v="95"/>
    <n v="86"/>
    <n v="61.26"/>
    <s v="B"/>
    <n v="79.333333333333329"/>
    <x v="0"/>
    <x v="0"/>
  </r>
  <r>
    <s v="STU1070"/>
    <x v="58"/>
    <x v="1"/>
    <n v="22"/>
    <x v="0"/>
    <x v="1"/>
    <n v="66"/>
    <n v="93"/>
    <n v="88"/>
    <n v="77.349999999999994"/>
    <s v="A"/>
    <n v="82.333333333333329"/>
    <x v="0"/>
    <x v="0"/>
  </r>
  <r>
    <s v="STU1071"/>
    <x v="59"/>
    <x v="1"/>
    <n v="21"/>
    <x v="4"/>
    <x v="3"/>
    <n v="97"/>
    <n v="81"/>
    <n v="38"/>
    <n v="86.33"/>
    <s v="B"/>
    <n v="72"/>
    <x v="1"/>
    <x v="1"/>
  </r>
  <r>
    <s v="STU1072"/>
    <x v="60"/>
    <x v="0"/>
    <n v="21"/>
    <x v="0"/>
    <x v="5"/>
    <n v="49"/>
    <n v="66"/>
    <n v="71"/>
    <n v="95.02"/>
    <s v="C"/>
    <n v="62"/>
    <x v="0"/>
    <x v="0"/>
  </r>
  <r>
    <s v="STU1073"/>
    <x v="61"/>
    <x v="0"/>
    <n v="20"/>
    <x v="3"/>
    <x v="4"/>
    <n v="78"/>
    <n v="89"/>
    <n v="95"/>
    <n v="61.59"/>
    <s v="A"/>
    <n v="87.333333333333329"/>
    <x v="0"/>
    <x v="0"/>
  </r>
  <r>
    <s v="STU1074"/>
    <x v="62"/>
    <x v="0"/>
    <n v="21"/>
    <x v="2"/>
    <x v="2"/>
    <n v="63"/>
    <n v="71"/>
    <n v="97"/>
    <n v="78.5"/>
    <s v="B"/>
    <n v="77"/>
    <x v="0"/>
    <x v="0"/>
  </r>
  <r>
    <s v="STU1075"/>
    <x v="52"/>
    <x v="0"/>
    <n v="21"/>
    <x v="4"/>
    <x v="2"/>
    <n v="39"/>
    <n v="39"/>
    <n v="95"/>
    <n v="64.73"/>
    <s v="D"/>
    <n v="57.666666666666664"/>
    <x v="1"/>
    <x v="1"/>
  </r>
  <r>
    <s v="STU1076"/>
    <x v="63"/>
    <x v="1"/>
    <n v="22"/>
    <x v="1"/>
    <x v="5"/>
    <n v="100"/>
    <n v="35"/>
    <n v="49"/>
    <n v="70.13"/>
    <s v="C"/>
    <n v="61.333333333333336"/>
    <x v="1"/>
    <x v="1"/>
  </r>
  <r>
    <s v="STU1077"/>
    <x v="64"/>
    <x v="0"/>
    <n v="19"/>
    <x v="1"/>
    <x v="2"/>
    <n v="43"/>
    <n v="40"/>
    <n v="71"/>
    <n v="92.75"/>
    <s v="D"/>
    <n v="51.333333333333336"/>
    <x v="0"/>
    <x v="2"/>
  </r>
  <r>
    <s v="STU1078"/>
    <x v="65"/>
    <x v="1"/>
    <n v="18"/>
    <x v="3"/>
    <x v="1"/>
    <n v="61"/>
    <n v="51"/>
    <n v="47"/>
    <n v="99.33"/>
    <s v="D"/>
    <n v="53"/>
    <x v="0"/>
    <x v="2"/>
  </r>
  <r>
    <s v="STU1079"/>
    <x v="66"/>
    <x v="0"/>
    <n v="19"/>
    <x v="1"/>
    <x v="4"/>
    <n v="70"/>
    <n v="48"/>
    <n v="68"/>
    <n v="63.01"/>
    <s v="C"/>
    <n v="62"/>
    <x v="0"/>
    <x v="0"/>
  </r>
  <r>
    <s v="STU1080"/>
    <x v="67"/>
    <x v="0"/>
    <n v="22"/>
    <x v="2"/>
    <x v="2"/>
    <n v="44"/>
    <n v="95"/>
    <n v="92"/>
    <n v="78.37"/>
    <s v="B"/>
    <n v="77"/>
    <x v="0"/>
    <x v="0"/>
  </r>
  <r>
    <s v="STU1081"/>
    <x v="32"/>
    <x v="0"/>
    <n v="23"/>
    <x v="2"/>
    <x v="1"/>
    <n v="98"/>
    <n v="67"/>
    <n v="77"/>
    <n v="74.94"/>
    <s v="A"/>
    <n v="80.666666666666671"/>
    <x v="0"/>
    <x v="0"/>
  </r>
  <r>
    <s v="STU1082"/>
    <x v="68"/>
    <x v="1"/>
    <n v="22"/>
    <x v="3"/>
    <x v="4"/>
    <n v="97"/>
    <n v="64"/>
    <n v="92"/>
    <n v="99.39"/>
    <s v="A"/>
    <n v="84.333333333333329"/>
    <x v="0"/>
    <x v="0"/>
  </r>
  <r>
    <s v="STU1083"/>
    <x v="69"/>
    <x v="1"/>
    <n v="20"/>
    <x v="3"/>
    <x v="5"/>
    <n v="70"/>
    <n v="69"/>
    <n v="37"/>
    <n v="78.989999999999995"/>
    <s v="D"/>
    <n v="58.666666666666664"/>
    <x v="1"/>
    <x v="1"/>
  </r>
  <r>
    <s v="STU1084"/>
    <x v="70"/>
    <x v="1"/>
    <n v="22"/>
    <x v="2"/>
    <x v="2"/>
    <n v="83"/>
    <n v="73"/>
    <n v="42"/>
    <n v="95.23"/>
    <s v="C"/>
    <n v="66"/>
    <x v="0"/>
    <x v="0"/>
  </r>
  <r>
    <s v="STU1085"/>
    <x v="11"/>
    <x v="1"/>
    <n v="23"/>
    <x v="4"/>
    <x v="3"/>
    <n v="45"/>
    <n v="37"/>
    <n v="73"/>
    <n v="85.62"/>
    <s v="D"/>
    <n v="51.666666666666664"/>
    <x v="1"/>
    <x v="1"/>
  </r>
  <r>
    <s v="STU1086"/>
    <x v="71"/>
    <x v="0"/>
    <n v="23"/>
    <x v="2"/>
    <x v="4"/>
    <n v="72"/>
    <n v="35"/>
    <n v="54"/>
    <n v="93.76"/>
    <s v="D"/>
    <n v="53.666666666666664"/>
    <x v="1"/>
    <x v="1"/>
  </r>
  <r>
    <s v="STU1087"/>
    <x v="52"/>
    <x v="1"/>
    <n v="21"/>
    <x v="3"/>
    <x v="5"/>
    <n v="64"/>
    <n v="68"/>
    <n v="95"/>
    <n v="70.540000000000006"/>
    <s v="B"/>
    <n v="75.666666666666671"/>
    <x v="0"/>
    <x v="0"/>
  </r>
  <r>
    <s v="STU1088"/>
    <x v="54"/>
    <x v="0"/>
    <n v="23"/>
    <x v="2"/>
    <x v="2"/>
    <n v="72"/>
    <n v="52"/>
    <n v="43"/>
    <n v="69.73"/>
    <s v="D"/>
    <n v="55.666666666666664"/>
    <x v="0"/>
    <x v="2"/>
  </r>
  <r>
    <s v="STU1089"/>
    <x v="72"/>
    <x v="0"/>
    <n v="20"/>
    <x v="1"/>
    <x v="4"/>
    <n v="36"/>
    <n v="53"/>
    <n v="75"/>
    <n v="91.33"/>
    <s v="D"/>
    <n v="54.666666666666664"/>
    <x v="1"/>
    <x v="1"/>
  </r>
  <r>
    <s v="STU1090"/>
    <x v="15"/>
    <x v="0"/>
    <n v="21"/>
    <x v="4"/>
    <x v="4"/>
    <n v="59"/>
    <n v="55"/>
    <n v="50"/>
    <n v="87.39"/>
    <s v="D"/>
    <n v="54.666666666666664"/>
    <x v="0"/>
    <x v="2"/>
  </r>
  <r>
    <s v="STU1091"/>
    <x v="73"/>
    <x v="1"/>
    <n v="19"/>
    <x v="0"/>
    <x v="0"/>
    <n v="62"/>
    <n v="68"/>
    <n v="79"/>
    <n v="98.35"/>
    <s v="C"/>
    <n v="69.666666666666671"/>
    <x v="0"/>
    <x v="0"/>
  </r>
  <r>
    <s v="STU1092"/>
    <x v="58"/>
    <x v="1"/>
    <n v="19"/>
    <x v="2"/>
    <x v="3"/>
    <n v="78"/>
    <n v="88"/>
    <n v="90"/>
    <n v="79"/>
    <s v="A"/>
    <n v="85.333333333333329"/>
    <x v="0"/>
    <x v="0"/>
  </r>
  <r>
    <s v="STU1093"/>
    <x v="74"/>
    <x v="1"/>
    <n v="20"/>
    <x v="1"/>
    <x v="4"/>
    <n v="59"/>
    <n v="78"/>
    <n v="66"/>
    <n v="87.04"/>
    <s v="C"/>
    <n v="67.666666666666671"/>
    <x v="0"/>
    <x v="0"/>
  </r>
  <r>
    <s v="STU1094"/>
    <x v="75"/>
    <x v="0"/>
    <n v="18"/>
    <x v="4"/>
    <x v="3"/>
    <n v="63"/>
    <n v="44"/>
    <n v="87"/>
    <n v="94.07"/>
    <s v="C"/>
    <n v="64.666666666666671"/>
    <x v="0"/>
    <x v="0"/>
  </r>
  <r>
    <s v="STU1095"/>
    <x v="53"/>
    <x v="1"/>
    <n v="21"/>
    <x v="1"/>
    <x v="5"/>
    <n v="75"/>
    <n v="37"/>
    <n v="56"/>
    <n v="75.540000000000006"/>
    <s v="D"/>
    <n v="56"/>
    <x v="1"/>
    <x v="1"/>
  </r>
  <r>
    <s v="STU1096"/>
    <x v="37"/>
    <x v="0"/>
    <n v="20"/>
    <x v="4"/>
    <x v="2"/>
    <n v="88"/>
    <n v="51"/>
    <n v="61"/>
    <n v="97.32"/>
    <s v="C"/>
    <n v="66.666666666666671"/>
    <x v="0"/>
    <x v="0"/>
  </r>
  <r>
    <s v="STU1097"/>
    <x v="15"/>
    <x v="1"/>
    <n v="22"/>
    <x v="0"/>
    <x v="4"/>
    <n v="88"/>
    <n v="95"/>
    <n v="61"/>
    <n v="90.83"/>
    <s v="A"/>
    <n v="81.333333333333329"/>
    <x v="0"/>
    <x v="0"/>
  </r>
  <r>
    <s v="STU1098"/>
    <x v="20"/>
    <x v="0"/>
    <n v="22"/>
    <x v="4"/>
    <x v="4"/>
    <n v="97"/>
    <n v="91"/>
    <n v="68"/>
    <n v="69.760000000000005"/>
    <s v="A"/>
    <n v="85.333333333333329"/>
    <x v="0"/>
    <x v="0"/>
  </r>
  <r>
    <s v="STU1099"/>
    <x v="76"/>
    <x v="1"/>
    <n v="18"/>
    <x v="2"/>
    <x v="2"/>
    <n v="97"/>
    <n v="96"/>
    <n v="46"/>
    <n v="84.99"/>
    <s v="B"/>
    <n v="79.666666666666671"/>
    <x v="0"/>
    <x v="0"/>
  </r>
  <r>
    <s v="STU1100"/>
    <x v="77"/>
    <x v="1"/>
    <n v="19"/>
    <x v="3"/>
    <x v="4"/>
    <n v="97"/>
    <n v="51"/>
    <n v="44"/>
    <n v="78.44"/>
    <s v="C"/>
    <n v="64"/>
    <x v="0"/>
    <x v="0"/>
  </r>
  <r>
    <s v="STU1101"/>
    <x v="78"/>
    <x v="1"/>
    <n v="23"/>
    <x v="1"/>
    <x v="1"/>
    <n v="56"/>
    <n v="94"/>
    <n v="40"/>
    <n v="84.92"/>
    <s v="C"/>
    <n v="63.333333333333336"/>
    <x v="0"/>
    <x v="0"/>
  </r>
  <r>
    <s v="STU1102"/>
    <x v="5"/>
    <x v="0"/>
    <n v="18"/>
    <x v="0"/>
    <x v="0"/>
    <n v="54"/>
    <n v="59"/>
    <n v="57"/>
    <n v="61.16"/>
    <s v="D"/>
    <n v="56.666666666666664"/>
    <x v="0"/>
    <x v="2"/>
  </r>
  <r>
    <s v="STU1103"/>
    <x v="8"/>
    <x v="0"/>
    <n v="22"/>
    <x v="0"/>
    <x v="2"/>
    <n v="84"/>
    <n v="59"/>
    <n v="45"/>
    <n v="88.61"/>
    <s v="C"/>
    <n v="62.666666666666664"/>
    <x v="0"/>
    <x v="0"/>
  </r>
  <r>
    <s v="STU1104"/>
    <x v="16"/>
    <x v="0"/>
    <n v="19"/>
    <x v="2"/>
    <x v="3"/>
    <n v="80"/>
    <n v="81"/>
    <n v="58"/>
    <n v="62.17"/>
    <s v="B"/>
    <n v="73"/>
    <x v="0"/>
    <x v="0"/>
  </r>
  <r>
    <s v="STU1105"/>
    <x v="79"/>
    <x v="0"/>
    <n v="22"/>
    <x v="4"/>
    <x v="5"/>
    <n v="79"/>
    <n v="63"/>
    <n v="52"/>
    <n v="87.19"/>
    <s v="C"/>
    <n v="64.666666666666671"/>
    <x v="0"/>
    <x v="0"/>
  </r>
  <r>
    <s v="STU1106"/>
    <x v="80"/>
    <x v="1"/>
    <n v="21"/>
    <x v="3"/>
    <x v="1"/>
    <n v="83"/>
    <n v="53"/>
    <n v="88"/>
    <n v="70.430000000000007"/>
    <s v="B"/>
    <n v="74.666666666666671"/>
    <x v="0"/>
    <x v="0"/>
  </r>
  <r>
    <s v="STU1107"/>
    <x v="81"/>
    <x v="0"/>
    <n v="19"/>
    <x v="4"/>
    <x v="1"/>
    <n v="61"/>
    <n v="63"/>
    <n v="53"/>
    <n v="82.64"/>
    <s v="D"/>
    <n v="59"/>
    <x v="0"/>
    <x v="2"/>
  </r>
  <r>
    <s v="STU1108"/>
    <x v="82"/>
    <x v="0"/>
    <n v="23"/>
    <x v="4"/>
    <x v="1"/>
    <n v="91"/>
    <n v="38"/>
    <n v="45"/>
    <n v="79.010000000000005"/>
    <s v="D"/>
    <n v="58"/>
    <x v="1"/>
    <x v="1"/>
  </r>
  <r>
    <s v="STU1109"/>
    <x v="4"/>
    <x v="0"/>
    <n v="21"/>
    <x v="3"/>
    <x v="5"/>
    <n v="64"/>
    <n v="42"/>
    <n v="38"/>
    <n v="90.6"/>
    <s v="F"/>
    <n v="48"/>
    <x v="1"/>
    <x v="1"/>
  </r>
  <r>
    <s v="STU1110"/>
    <x v="83"/>
    <x v="1"/>
    <n v="20"/>
    <x v="4"/>
    <x v="4"/>
    <n v="98"/>
    <n v="92"/>
    <n v="64"/>
    <n v="77.5"/>
    <s v="A"/>
    <n v="84.666666666666671"/>
    <x v="0"/>
    <x v="0"/>
  </r>
  <r>
    <s v="STU1111"/>
    <x v="2"/>
    <x v="0"/>
    <n v="19"/>
    <x v="2"/>
    <x v="2"/>
    <n v="51"/>
    <n v="89"/>
    <n v="45"/>
    <n v="71.540000000000006"/>
    <s v="C"/>
    <n v="61.666666666666664"/>
    <x v="0"/>
    <x v="0"/>
  </r>
  <r>
    <s v="STU1112"/>
    <x v="84"/>
    <x v="1"/>
    <n v="18"/>
    <x v="2"/>
    <x v="4"/>
    <n v="50"/>
    <n v="92"/>
    <n v="40"/>
    <n v="79.25"/>
    <s v="C"/>
    <n v="60.666666666666664"/>
    <x v="0"/>
    <x v="0"/>
  </r>
  <r>
    <s v="STU1113"/>
    <x v="85"/>
    <x v="1"/>
    <n v="18"/>
    <x v="1"/>
    <x v="2"/>
    <n v="78"/>
    <n v="97"/>
    <n v="41"/>
    <n v="64.790000000000006"/>
    <s v="B"/>
    <n v="72"/>
    <x v="0"/>
    <x v="0"/>
  </r>
  <r>
    <s v="STU1114"/>
    <x v="14"/>
    <x v="1"/>
    <n v="21"/>
    <x v="1"/>
    <x v="4"/>
    <n v="58"/>
    <n v="67"/>
    <n v="93"/>
    <n v="73.760000000000005"/>
    <s v="B"/>
    <n v="72.666666666666671"/>
    <x v="0"/>
    <x v="0"/>
  </r>
  <r>
    <s v="STU1115"/>
    <x v="8"/>
    <x v="0"/>
    <n v="19"/>
    <x v="3"/>
    <x v="0"/>
    <n v="82"/>
    <n v="86"/>
    <n v="63"/>
    <n v="94.35"/>
    <s v="B"/>
    <n v="77"/>
    <x v="0"/>
    <x v="0"/>
  </r>
  <r>
    <s v="STU1116"/>
    <x v="86"/>
    <x v="0"/>
    <n v="21"/>
    <x v="0"/>
    <x v="3"/>
    <n v="43"/>
    <n v="88"/>
    <n v="49"/>
    <n v="77.680000000000007"/>
    <s v="C"/>
    <n v="60"/>
    <x v="0"/>
    <x v="0"/>
  </r>
  <r>
    <s v="STU1117"/>
    <x v="75"/>
    <x v="1"/>
    <n v="22"/>
    <x v="4"/>
    <x v="1"/>
    <n v="77"/>
    <n v="98"/>
    <n v="47"/>
    <n v="74.58"/>
    <s v="B"/>
    <n v="74"/>
    <x v="0"/>
    <x v="0"/>
  </r>
  <r>
    <s v="STU1118"/>
    <x v="87"/>
    <x v="1"/>
    <n v="19"/>
    <x v="3"/>
    <x v="5"/>
    <n v="71"/>
    <n v="56"/>
    <n v="97"/>
    <n v="97.81"/>
    <s v="B"/>
    <n v="74.666666666666671"/>
    <x v="0"/>
    <x v="0"/>
  </r>
  <r>
    <s v="STU1119"/>
    <x v="88"/>
    <x v="0"/>
    <n v="22"/>
    <x v="3"/>
    <x v="4"/>
    <n v="59"/>
    <n v="53"/>
    <n v="73"/>
    <n v="78.56"/>
    <s v="C"/>
    <n v="61.666666666666664"/>
    <x v="0"/>
    <x v="0"/>
  </r>
  <r>
    <s v="STU1120"/>
    <x v="73"/>
    <x v="0"/>
    <n v="20"/>
    <x v="1"/>
    <x v="3"/>
    <n v="72"/>
    <n v="94"/>
    <n v="84"/>
    <n v="94.3"/>
    <s v="A"/>
    <n v="83.333333333333329"/>
    <x v="0"/>
    <x v="0"/>
  </r>
  <r>
    <s v="STU1121"/>
    <x v="89"/>
    <x v="1"/>
    <n v="19"/>
    <x v="1"/>
    <x v="1"/>
    <n v="70"/>
    <n v="58"/>
    <n v="81"/>
    <n v="85.52"/>
    <s v="C"/>
    <n v="69.666666666666671"/>
    <x v="0"/>
    <x v="0"/>
  </r>
  <r>
    <s v="STU1122"/>
    <x v="46"/>
    <x v="1"/>
    <n v="22"/>
    <x v="1"/>
    <x v="3"/>
    <n v="62"/>
    <n v="83"/>
    <n v="84"/>
    <n v="77.28"/>
    <s v="B"/>
    <n v="76.333333333333329"/>
    <x v="0"/>
    <x v="0"/>
  </r>
  <r>
    <s v="STU1123"/>
    <x v="90"/>
    <x v="0"/>
    <n v="23"/>
    <x v="2"/>
    <x v="4"/>
    <n v="81"/>
    <n v="55"/>
    <n v="68"/>
    <n v="95.46"/>
    <s v="C"/>
    <n v="68"/>
    <x v="0"/>
    <x v="0"/>
  </r>
  <r>
    <s v="STU1124"/>
    <x v="91"/>
    <x v="0"/>
    <n v="23"/>
    <x v="1"/>
    <x v="0"/>
    <n v="96"/>
    <n v="81"/>
    <n v="95"/>
    <n v="94.41"/>
    <s v="A+"/>
    <n v="90.666666666666671"/>
    <x v="0"/>
    <x v="0"/>
  </r>
  <r>
    <s v="STU1125"/>
    <x v="58"/>
    <x v="1"/>
    <n v="22"/>
    <x v="3"/>
    <x v="2"/>
    <n v="71"/>
    <n v="53"/>
    <n v="81"/>
    <n v="63.12"/>
    <s v="C"/>
    <n v="68.333333333333329"/>
    <x v="0"/>
    <x v="0"/>
  </r>
  <r>
    <s v="STU1126"/>
    <x v="92"/>
    <x v="0"/>
    <n v="20"/>
    <x v="0"/>
    <x v="4"/>
    <n v="56"/>
    <n v="73"/>
    <n v="66"/>
    <n v="74.88"/>
    <s v="C"/>
    <n v="65"/>
    <x v="0"/>
    <x v="0"/>
  </r>
  <r>
    <s v="STU1127"/>
    <x v="93"/>
    <x v="0"/>
    <n v="22"/>
    <x v="4"/>
    <x v="0"/>
    <n v="73"/>
    <n v="99"/>
    <n v="50"/>
    <n v="62.75"/>
    <s v="B"/>
    <n v="74"/>
    <x v="0"/>
    <x v="0"/>
  </r>
  <r>
    <s v="STU1128"/>
    <x v="7"/>
    <x v="0"/>
    <n v="19"/>
    <x v="2"/>
    <x v="0"/>
    <n v="99"/>
    <n v="94"/>
    <n v="85"/>
    <n v="97.11"/>
    <s v="A+"/>
    <n v="92.666666666666671"/>
    <x v="0"/>
    <x v="0"/>
  </r>
  <r>
    <s v="STU1129"/>
    <x v="81"/>
    <x v="1"/>
    <n v="23"/>
    <x v="4"/>
    <x v="1"/>
    <n v="82"/>
    <n v="47"/>
    <n v="43"/>
    <n v="67.84"/>
    <s v="D"/>
    <n v="57.333333333333336"/>
    <x v="0"/>
    <x v="2"/>
  </r>
  <r>
    <s v="STU1130"/>
    <x v="61"/>
    <x v="1"/>
    <n v="22"/>
    <x v="3"/>
    <x v="3"/>
    <n v="59"/>
    <n v="66"/>
    <n v="51"/>
    <n v="96.57"/>
    <s v="D"/>
    <n v="58.666666666666664"/>
    <x v="0"/>
    <x v="2"/>
  </r>
  <r>
    <s v="STU1131"/>
    <x v="58"/>
    <x v="1"/>
    <n v="23"/>
    <x v="1"/>
    <x v="2"/>
    <n v="76"/>
    <n v="65"/>
    <n v="46"/>
    <n v="95.6"/>
    <s v="C"/>
    <n v="62.333333333333336"/>
    <x v="0"/>
    <x v="0"/>
  </r>
  <r>
    <s v="STU1132"/>
    <x v="94"/>
    <x v="1"/>
    <n v="19"/>
    <x v="1"/>
    <x v="4"/>
    <n v="91"/>
    <n v="43"/>
    <n v="65"/>
    <n v="85.4"/>
    <s v="C"/>
    <n v="66.333333333333329"/>
    <x v="0"/>
    <x v="0"/>
  </r>
  <r>
    <s v="STU1133"/>
    <x v="95"/>
    <x v="1"/>
    <n v="20"/>
    <x v="0"/>
    <x v="0"/>
    <n v="49"/>
    <n v="83"/>
    <n v="92"/>
    <n v="69.7"/>
    <s v="B"/>
    <n v="74.666666666666671"/>
    <x v="0"/>
    <x v="0"/>
  </r>
  <r>
    <s v="STU1134"/>
    <x v="59"/>
    <x v="0"/>
    <n v="21"/>
    <x v="1"/>
    <x v="5"/>
    <n v="81"/>
    <n v="72"/>
    <n v="63"/>
    <n v="85.45"/>
    <s v="B"/>
    <n v="72"/>
    <x v="0"/>
    <x v="0"/>
  </r>
  <r>
    <s v="STU1135"/>
    <x v="96"/>
    <x v="1"/>
    <n v="22"/>
    <x v="2"/>
    <x v="3"/>
    <n v="95"/>
    <n v="60"/>
    <n v="49"/>
    <n v="67.94"/>
    <s v="C"/>
    <n v="68"/>
    <x v="0"/>
    <x v="0"/>
  </r>
  <r>
    <s v="STU1136"/>
    <x v="97"/>
    <x v="1"/>
    <n v="21"/>
    <x v="3"/>
    <x v="1"/>
    <n v="46"/>
    <n v="95"/>
    <n v="90"/>
    <n v="72.91"/>
    <s v="B"/>
    <n v="77"/>
    <x v="0"/>
    <x v="0"/>
  </r>
  <r>
    <s v="STU1137"/>
    <x v="35"/>
    <x v="1"/>
    <n v="23"/>
    <x v="2"/>
    <x v="0"/>
    <n v="45"/>
    <n v="75"/>
    <n v="96"/>
    <n v="93.75"/>
    <s v="B"/>
    <n v="72"/>
    <x v="0"/>
    <x v="0"/>
  </r>
  <r>
    <s v="STU1138"/>
    <x v="98"/>
    <x v="1"/>
    <n v="21"/>
    <x v="2"/>
    <x v="1"/>
    <n v="56"/>
    <n v="49"/>
    <n v="60"/>
    <n v="82.29"/>
    <s v="D"/>
    <n v="55"/>
    <x v="0"/>
    <x v="2"/>
  </r>
  <r>
    <s v="STU1139"/>
    <x v="56"/>
    <x v="1"/>
    <n v="19"/>
    <x v="3"/>
    <x v="4"/>
    <n v="41"/>
    <n v="36"/>
    <n v="42"/>
    <n v="62.86"/>
    <s v="F"/>
    <n v="39.666666666666664"/>
    <x v="1"/>
    <x v="1"/>
  </r>
  <r>
    <s v="STU1140"/>
    <x v="93"/>
    <x v="0"/>
    <n v="23"/>
    <x v="3"/>
    <x v="1"/>
    <n v="51"/>
    <n v="86"/>
    <n v="64"/>
    <n v="61.97"/>
    <s v="C"/>
    <n v="67"/>
    <x v="0"/>
    <x v="0"/>
  </r>
  <r>
    <s v="STU1141"/>
    <x v="99"/>
    <x v="0"/>
    <n v="21"/>
    <x v="3"/>
    <x v="4"/>
    <n v="89"/>
    <n v="40"/>
    <n v="99"/>
    <n v="93.03"/>
    <s v="B"/>
    <n v="76"/>
    <x v="0"/>
    <x v="0"/>
  </r>
  <r>
    <s v="STU1142"/>
    <x v="30"/>
    <x v="0"/>
    <n v="19"/>
    <x v="2"/>
    <x v="1"/>
    <n v="64"/>
    <n v="85"/>
    <n v="77"/>
    <n v="61.4"/>
    <s v="B"/>
    <n v="75.333333333333329"/>
    <x v="0"/>
    <x v="0"/>
  </r>
  <r>
    <s v="STU1143"/>
    <x v="100"/>
    <x v="0"/>
    <n v="21"/>
    <x v="4"/>
    <x v="4"/>
    <n v="42"/>
    <n v="90"/>
    <n v="50"/>
    <n v="95.29"/>
    <s v="C"/>
    <n v="60.666666666666664"/>
    <x v="0"/>
    <x v="0"/>
  </r>
  <r>
    <s v="STU1144"/>
    <x v="101"/>
    <x v="0"/>
    <n v="20"/>
    <x v="1"/>
    <x v="3"/>
    <n v="57"/>
    <n v="98"/>
    <n v="40"/>
    <n v="61.42"/>
    <s v="C"/>
    <n v="65"/>
    <x v="0"/>
    <x v="0"/>
  </r>
  <r>
    <s v="STU1145"/>
    <x v="97"/>
    <x v="1"/>
    <n v="19"/>
    <x v="0"/>
    <x v="2"/>
    <n v="87"/>
    <n v="78"/>
    <n v="91"/>
    <n v="97.54"/>
    <s v="A"/>
    <n v="85.333333333333329"/>
    <x v="0"/>
    <x v="0"/>
  </r>
  <r>
    <s v="STU1146"/>
    <x v="2"/>
    <x v="1"/>
    <n v="20"/>
    <x v="4"/>
    <x v="2"/>
    <n v="40"/>
    <n v="77"/>
    <n v="41"/>
    <n v="63.87"/>
    <s v="D"/>
    <n v="52.666666666666664"/>
    <x v="0"/>
    <x v="2"/>
  </r>
  <r>
    <s v="STU1147"/>
    <x v="102"/>
    <x v="0"/>
    <n v="20"/>
    <x v="3"/>
    <x v="2"/>
    <n v="66"/>
    <n v="60"/>
    <n v="70"/>
    <n v="74.010000000000005"/>
    <s v="C"/>
    <n v="65.333333333333329"/>
    <x v="0"/>
    <x v="0"/>
  </r>
  <r>
    <s v="STU1148"/>
    <x v="68"/>
    <x v="1"/>
    <n v="23"/>
    <x v="1"/>
    <x v="1"/>
    <n v="98"/>
    <n v="53"/>
    <n v="41"/>
    <n v="71.41"/>
    <s v="C"/>
    <n v="64"/>
    <x v="0"/>
    <x v="0"/>
  </r>
  <r>
    <s v="STU1149"/>
    <x v="103"/>
    <x v="1"/>
    <n v="18"/>
    <x v="2"/>
    <x v="1"/>
    <n v="74"/>
    <n v="82"/>
    <n v="73"/>
    <n v="69.180000000000007"/>
    <s v="B"/>
    <n v="76.333333333333329"/>
    <x v="0"/>
    <x v="0"/>
  </r>
  <r>
    <s v="STU1150"/>
    <x v="104"/>
    <x v="1"/>
    <n v="21"/>
    <x v="4"/>
    <x v="5"/>
    <n v="92"/>
    <n v="57"/>
    <n v="67"/>
    <n v="76.5"/>
    <s v="B"/>
    <n v="72"/>
    <x v="0"/>
    <x v="0"/>
  </r>
  <r>
    <s v="STU1151"/>
    <x v="105"/>
    <x v="1"/>
    <n v="22"/>
    <x v="3"/>
    <x v="5"/>
    <n v="37"/>
    <n v="37"/>
    <n v="80"/>
    <n v="90.18"/>
    <s v="D"/>
    <n v="51.333333333333336"/>
    <x v="1"/>
    <x v="1"/>
  </r>
  <r>
    <s v="STU1152"/>
    <x v="5"/>
    <x v="1"/>
    <n v="21"/>
    <x v="3"/>
    <x v="3"/>
    <n v="64"/>
    <n v="99"/>
    <n v="99"/>
    <n v="88.82"/>
    <s v="A"/>
    <n v="87.333333333333329"/>
    <x v="0"/>
    <x v="0"/>
  </r>
  <r>
    <s v="STU1153"/>
    <x v="101"/>
    <x v="1"/>
    <n v="23"/>
    <x v="4"/>
    <x v="3"/>
    <n v="94"/>
    <n v="51"/>
    <n v="92"/>
    <n v="90.7"/>
    <s v="B"/>
    <n v="79"/>
    <x v="0"/>
    <x v="0"/>
  </r>
  <r>
    <s v="STU1154"/>
    <x v="50"/>
    <x v="0"/>
    <n v="19"/>
    <x v="4"/>
    <x v="1"/>
    <n v="76"/>
    <n v="54"/>
    <n v="71"/>
    <n v="86.01"/>
    <s v="C"/>
    <n v="67"/>
    <x v="0"/>
    <x v="0"/>
  </r>
  <r>
    <s v="STU1155"/>
    <x v="89"/>
    <x v="1"/>
    <n v="19"/>
    <x v="0"/>
    <x v="2"/>
    <n v="83"/>
    <n v="70"/>
    <n v="94"/>
    <n v="84.95"/>
    <s v="A"/>
    <n v="82.333333333333329"/>
    <x v="0"/>
    <x v="0"/>
  </r>
  <r>
    <s v="STU1156"/>
    <x v="106"/>
    <x v="1"/>
    <n v="22"/>
    <x v="4"/>
    <x v="2"/>
    <n v="53"/>
    <n v="75"/>
    <n v="48"/>
    <n v="78.400000000000006"/>
    <s v="D"/>
    <n v="58.666666666666664"/>
    <x v="0"/>
    <x v="2"/>
  </r>
  <r>
    <s v="STU1157"/>
    <x v="107"/>
    <x v="0"/>
    <n v="19"/>
    <x v="1"/>
    <x v="0"/>
    <n v="49"/>
    <n v="83"/>
    <n v="81"/>
    <n v="93.55"/>
    <s v="B"/>
    <n v="71"/>
    <x v="0"/>
    <x v="0"/>
  </r>
  <r>
    <s v="STU1158"/>
    <x v="108"/>
    <x v="0"/>
    <n v="22"/>
    <x v="1"/>
    <x v="4"/>
    <n v="87"/>
    <n v="47"/>
    <n v="55"/>
    <n v="60.41"/>
    <s v="C"/>
    <n v="63"/>
    <x v="0"/>
    <x v="0"/>
  </r>
  <r>
    <s v="STU1159"/>
    <x v="79"/>
    <x v="1"/>
    <n v="18"/>
    <x v="1"/>
    <x v="3"/>
    <n v="83"/>
    <n v="80"/>
    <n v="96"/>
    <n v="66.17"/>
    <s v="A"/>
    <n v="86.333333333333329"/>
    <x v="0"/>
    <x v="0"/>
  </r>
  <r>
    <s v="STU1160"/>
    <x v="35"/>
    <x v="0"/>
    <n v="22"/>
    <x v="0"/>
    <x v="1"/>
    <n v="68"/>
    <n v="83"/>
    <n v="70"/>
    <n v="65.23"/>
    <s v="B"/>
    <n v="73.666666666666671"/>
    <x v="0"/>
    <x v="0"/>
  </r>
  <r>
    <s v="STU1161"/>
    <x v="104"/>
    <x v="1"/>
    <n v="20"/>
    <x v="3"/>
    <x v="3"/>
    <n v="50"/>
    <n v="100"/>
    <n v="40"/>
    <n v="72.62"/>
    <s v="C"/>
    <n v="63.333333333333336"/>
    <x v="0"/>
    <x v="0"/>
  </r>
  <r>
    <s v="STU1162"/>
    <x v="69"/>
    <x v="1"/>
    <n v="23"/>
    <x v="3"/>
    <x v="2"/>
    <n v="94"/>
    <n v="60"/>
    <n v="79"/>
    <n v="86.4"/>
    <s v="B"/>
    <n v="77.666666666666671"/>
    <x v="0"/>
    <x v="0"/>
  </r>
  <r>
    <s v="STU1163"/>
    <x v="109"/>
    <x v="0"/>
    <n v="21"/>
    <x v="2"/>
    <x v="1"/>
    <n v="60"/>
    <n v="59"/>
    <n v="36"/>
    <n v="74.819999999999993"/>
    <s v="D"/>
    <n v="51.666666666666664"/>
    <x v="1"/>
    <x v="1"/>
  </r>
  <r>
    <s v="STU1164"/>
    <x v="11"/>
    <x v="1"/>
    <n v="18"/>
    <x v="3"/>
    <x v="4"/>
    <n v="36"/>
    <n v="35"/>
    <n v="45"/>
    <n v="73.91"/>
    <s v="F"/>
    <n v="38.666666666666664"/>
    <x v="1"/>
    <x v="1"/>
  </r>
  <r>
    <s v="STU1165"/>
    <x v="110"/>
    <x v="1"/>
    <n v="22"/>
    <x v="1"/>
    <x v="0"/>
    <n v="69"/>
    <n v="57"/>
    <n v="45"/>
    <n v="79.62"/>
    <s v="D"/>
    <n v="57"/>
    <x v="0"/>
    <x v="2"/>
  </r>
  <r>
    <s v="STU1166"/>
    <x v="15"/>
    <x v="0"/>
    <n v="18"/>
    <x v="4"/>
    <x v="2"/>
    <n v="54"/>
    <n v="80"/>
    <n v="38"/>
    <n v="93.38"/>
    <s v="D"/>
    <n v="57.333333333333336"/>
    <x v="1"/>
    <x v="1"/>
  </r>
  <r>
    <s v="STU1167"/>
    <x v="96"/>
    <x v="0"/>
    <n v="20"/>
    <x v="0"/>
    <x v="0"/>
    <n v="97"/>
    <n v="72"/>
    <n v="43"/>
    <n v="69"/>
    <s v="B"/>
    <n v="70.666666666666671"/>
    <x v="0"/>
    <x v="0"/>
  </r>
  <r>
    <s v="STU1168"/>
    <x v="41"/>
    <x v="1"/>
    <n v="19"/>
    <x v="3"/>
    <x v="1"/>
    <n v="47"/>
    <n v="60"/>
    <n v="81"/>
    <n v="86.51"/>
    <s v="C"/>
    <n v="62.666666666666664"/>
    <x v="0"/>
    <x v="0"/>
  </r>
  <r>
    <s v="STU1169"/>
    <x v="19"/>
    <x v="0"/>
    <n v="20"/>
    <x v="4"/>
    <x v="1"/>
    <n v="92"/>
    <n v="65"/>
    <n v="76"/>
    <n v="71.069999999999993"/>
    <s v="B"/>
    <n v="77.666666666666671"/>
    <x v="0"/>
    <x v="0"/>
  </r>
  <r>
    <s v="STU1170"/>
    <x v="111"/>
    <x v="1"/>
    <n v="22"/>
    <x v="0"/>
    <x v="1"/>
    <n v="92"/>
    <n v="45"/>
    <n v="80"/>
    <n v="97.89"/>
    <s v="B"/>
    <n v="72.333333333333329"/>
    <x v="0"/>
    <x v="0"/>
  </r>
  <r>
    <s v="STU1171"/>
    <x v="50"/>
    <x v="1"/>
    <n v="20"/>
    <x v="4"/>
    <x v="2"/>
    <n v="95"/>
    <n v="38"/>
    <n v="84"/>
    <n v="64.69"/>
    <s v="B"/>
    <n v="72.333333333333329"/>
    <x v="1"/>
    <x v="1"/>
  </r>
  <r>
    <s v="STU1172"/>
    <x v="108"/>
    <x v="0"/>
    <n v="20"/>
    <x v="4"/>
    <x v="1"/>
    <n v="49"/>
    <n v="78"/>
    <n v="42"/>
    <n v="93.02"/>
    <s v="D"/>
    <n v="56.333333333333336"/>
    <x v="0"/>
    <x v="2"/>
  </r>
  <r>
    <s v="STU1173"/>
    <x v="112"/>
    <x v="0"/>
    <n v="23"/>
    <x v="3"/>
    <x v="5"/>
    <n v="64"/>
    <n v="73"/>
    <n v="79"/>
    <n v="70.14"/>
    <s v="B"/>
    <n v="72"/>
    <x v="0"/>
    <x v="0"/>
  </r>
  <r>
    <s v="STU1174"/>
    <x v="113"/>
    <x v="0"/>
    <n v="22"/>
    <x v="4"/>
    <x v="4"/>
    <n v="52"/>
    <n v="67"/>
    <n v="84"/>
    <n v="71.680000000000007"/>
    <s v="C"/>
    <n v="67.666666666666671"/>
    <x v="0"/>
    <x v="0"/>
  </r>
  <r>
    <s v="STU1175"/>
    <x v="3"/>
    <x v="1"/>
    <n v="21"/>
    <x v="0"/>
    <x v="4"/>
    <n v="75"/>
    <n v="59"/>
    <n v="39"/>
    <n v="63.58"/>
    <s v="D"/>
    <n v="57.666666666666664"/>
    <x v="1"/>
    <x v="1"/>
  </r>
  <r>
    <s v="STU1176"/>
    <x v="107"/>
    <x v="0"/>
    <n v="20"/>
    <x v="2"/>
    <x v="2"/>
    <n v="62"/>
    <n v="98"/>
    <n v="84"/>
    <n v="64.709999999999994"/>
    <s v="A"/>
    <n v="81.333333333333329"/>
    <x v="0"/>
    <x v="0"/>
  </r>
  <r>
    <s v="STU1177"/>
    <x v="12"/>
    <x v="1"/>
    <n v="22"/>
    <x v="1"/>
    <x v="1"/>
    <n v="84"/>
    <n v="92"/>
    <n v="74"/>
    <n v="79.16"/>
    <s v="A"/>
    <n v="83.333333333333329"/>
    <x v="0"/>
    <x v="0"/>
  </r>
  <r>
    <s v="STU1178"/>
    <x v="113"/>
    <x v="1"/>
    <n v="18"/>
    <x v="1"/>
    <x v="1"/>
    <n v="62"/>
    <n v="90"/>
    <n v="71"/>
    <n v="72.87"/>
    <s v="B"/>
    <n v="74.333333333333329"/>
    <x v="0"/>
    <x v="0"/>
  </r>
  <r>
    <s v="STU1179"/>
    <x v="114"/>
    <x v="1"/>
    <n v="19"/>
    <x v="0"/>
    <x v="1"/>
    <n v="60"/>
    <n v="64"/>
    <n v="88"/>
    <n v="64.33"/>
    <s v="B"/>
    <n v="70.666666666666671"/>
    <x v="0"/>
    <x v="0"/>
  </r>
  <r>
    <s v="STU1180"/>
    <x v="115"/>
    <x v="0"/>
    <n v="20"/>
    <x v="0"/>
    <x v="4"/>
    <n v="57"/>
    <n v="90"/>
    <n v="94"/>
    <n v="71.489999999999995"/>
    <s v="A"/>
    <n v="80.333333333333329"/>
    <x v="0"/>
    <x v="0"/>
  </r>
  <r>
    <s v="STU1181"/>
    <x v="74"/>
    <x v="0"/>
    <n v="22"/>
    <x v="0"/>
    <x v="5"/>
    <n v="48"/>
    <n v="100"/>
    <n v="89"/>
    <n v="91.1"/>
    <s v="B"/>
    <n v="79"/>
    <x v="0"/>
    <x v="0"/>
  </r>
  <r>
    <s v="STU1182"/>
    <x v="46"/>
    <x v="0"/>
    <n v="22"/>
    <x v="4"/>
    <x v="3"/>
    <n v="83"/>
    <n v="75"/>
    <n v="92"/>
    <n v="66.75"/>
    <s v="A"/>
    <n v="83.333333333333329"/>
    <x v="0"/>
    <x v="0"/>
  </r>
  <r>
    <s v="STU1183"/>
    <x v="116"/>
    <x v="1"/>
    <n v="19"/>
    <x v="1"/>
    <x v="3"/>
    <n v="61"/>
    <n v="48"/>
    <n v="52"/>
    <n v="61.99"/>
    <s v="D"/>
    <n v="53.666666666666664"/>
    <x v="0"/>
    <x v="2"/>
  </r>
  <r>
    <s v="STU1184"/>
    <x v="31"/>
    <x v="0"/>
    <n v="18"/>
    <x v="3"/>
    <x v="3"/>
    <n v="48"/>
    <n v="36"/>
    <n v="68"/>
    <n v="73.540000000000006"/>
    <s v="D"/>
    <n v="50.666666666666664"/>
    <x v="1"/>
    <x v="1"/>
  </r>
  <r>
    <s v="STU1185"/>
    <x v="117"/>
    <x v="1"/>
    <n v="18"/>
    <x v="2"/>
    <x v="0"/>
    <n v="47"/>
    <n v="87"/>
    <n v="52"/>
    <n v="63.77"/>
    <s v="C"/>
    <n v="62"/>
    <x v="0"/>
    <x v="0"/>
  </r>
  <r>
    <s v="STU1186"/>
    <x v="118"/>
    <x v="0"/>
    <n v="21"/>
    <x v="3"/>
    <x v="0"/>
    <n v="36"/>
    <n v="36"/>
    <n v="39"/>
    <n v="75.64"/>
    <s v="F"/>
    <n v="37"/>
    <x v="1"/>
    <x v="1"/>
  </r>
  <r>
    <s v="STU1187"/>
    <x v="119"/>
    <x v="0"/>
    <n v="22"/>
    <x v="2"/>
    <x v="2"/>
    <n v="93"/>
    <n v="48"/>
    <n v="89"/>
    <n v="91.53"/>
    <s v="B"/>
    <n v="76.666666666666671"/>
    <x v="0"/>
    <x v="0"/>
  </r>
  <r>
    <s v="STU1188"/>
    <x v="120"/>
    <x v="0"/>
    <n v="21"/>
    <x v="0"/>
    <x v="3"/>
    <n v="93"/>
    <n v="95"/>
    <n v="73"/>
    <n v="94.86"/>
    <s v="A"/>
    <n v="87"/>
    <x v="0"/>
    <x v="0"/>
  </r>
  <r>
    <s v="STU1189"/>
    <x v="121"/>
    <x v="0"/>
    <n v="18"/>
    <x v="2"/>
    <x v="1"/>
    <n v="59"/>
    <n v="82"/>
    <n v="41"/>
    <n v="87.34"/>
    <s v="C"/>
    <n v="60.666666666666664"/>
    <x v="0"/>
    <x v="0"/>
  </r>
  <r>
    <s v="STU1190"/>
    <x v="44"/>
    <x v="1"/>
    <n v="22"/>
    <x v="0"/>
    <x v="4"/>
    <n v="63"/>
    <n v="43"/>
    <n v="67"/>
    <n v="75.930000000000007"/>
    <s v="D"/>
    <n v="57.666666666666664"/>
    <x v="0"/>
    <x v="2"/>
  </r>
  <r>
    <s v="STU1191"/>
    <x v="27"/>
    <x v="0"/>
    <n v="18"/>
    <x v="0"/>
    <x v="2"/>
    <n v="97"/>
    <n v="67"/>
    <n v="79"/>
    <n v="75.489999999999995"/>
    <s v="A"/>
    <n v="81"/>
    <x v="0"/>
    <x v="0"/>
  </r>
  <r>
    <s v="STU1192"/>
    <x v="52"/>
    <x v="1"/>
    <n v="22"/>
    <x v="2"/>
    <x v="5"/>
    <n v="47"/>
    <n v="73"/>
    <n v="40"/>
    <n v="89.78"/>
    <s v="D"/>
    <n v="53.333333333333336"/>
    <x v="0"/>
    <x v="2"/>
  </r>
  <r>
    <s v="STU1193"/>
    <x v="83"/>
    <x v="1"/>
    <n v="19"/>
    <x v="0"/>
    <x v="4"/>
    <n v="42"/>
    <n v="88"/>
    <n v="91"/>
    <n v="84.37"/>
    <s v="B"/>
    <n v="73.666666666666671"/>
    <x v="0"/>
    <x v="0"/>
  </r>
  <r>
    <s v="STU1194"/>
    <x v="118"/>
    <x v="0"/>
    <n v="20"/>
    <x v="1"/>
    <x v="0"/>
    <n v="82"/>
    <n v="86"/>
    <n v="70"/>
    <n v="69.959999999999994"/>
    <s v="B"/>
    <n v="79.333333333333329"/>
    <x v="0"/>
    <x v="0"/>
  </r>
  <r>
    <s v="STU1195"/>
    <x v="122"/>
    <x v="1"/>
    <n v="22"/>
    <x v="4"/>
    <x v="0"/>
    <n v="99"/>
    <n v="66"/>
    <n v="64"/>
    <n v="72.61"/>
    <s v="B"/>
    <n v="76.333333333333329"/>
    <x v="0"/>
    <x v="0"/>
  </r>
  <r>
    <s v="STU1196"/>
    <x v="35"/>
    <x v="0"/>
    <n v="22"/>
    <x v="4"/>
    <x v="1"/>
    <n v="68"/>
    <n v="50"/>
    <n v="62"/>
    <n v="95.25"/>
    <s v="C"/>
    <n v="60"/>
    <x v="0"/>
    <x v="0"/>
  </r>
  <r>
    <s v="STU1197"/>
    <x v="123"/>
    <x v="1"/>
    <n v="18"/>
    <x v="1"/>
    <x v="3"/>
    <n v="92"/>
    <n v="51"/>
    <n v="41"/>
    <n v="68.05"/>
    <s v="C"/>
    <n v="61.333333333333336"/>
    <x v="0"/>
    <x v="0"/>
  </r>
  <r>
    <s v="STU1198"/>
    <x v="8"/>
    <x v="0"/>
    <n v="18"/>
    <x v="0"/>
    <x v="3"/>
    <n v="78"/>
    <n v="67"/>
    <n v="82"/>
    <n v="71.09"/>
    <s v="B"/>
    <n v="75.666666666666671"/>
    <x v="0"/>
    <x v="0"/>
  </r>
  <r>
    <s v="STU1199"/>
    <x v="124"/>
    <x v="1"/>
    <n v="20"/>
    <x v="2"/>
    <x v="1"/>
    <n v="42"/>
    <n v="54"/>
    <n v="73"/>
    <n v="77.91"/>
    <s v="D"/>
    <n v="56.333333333333336"/>
    <x v="0"/>
    <x v="2"/>
  </r>
  <r>
    <s v="STU1200"/>
    <x v="114"/>
    <x v="0"/>
    <n v="21"/>
    <x v="0"/>
    <x v="5"/>
    <n v="100"/>
    <n v="54"/>
    <n v="44"/>
    <n v="75.819999999999993"/>
    <s v="C"/>
    <n v="66"/>
    <x v="0"/>
    <x v="0"/>
  </r>
  <r>
    <s v="STU1201"/>
    <x v="31"/>
    <x v="1"/>
    <n v="21"/>
    <x v="0"/>
    <x v="2"/>
    <n v="60"/>
    <n v="94"/>
    <n v="80"/>
    <n v="88.38"/>
    <s v="B"/>
    <n v="78"/>
    <x v="0"/>
    <x v="0"/>
  </r>
  <r>
    <s v="STU1202"/>
    <x v="103"/>
    <x v="0"/>
    <n v="22"/>
    <x v="0"/>
    <x v="5"/>
    <n v="93"/>
    <n v="48"/>
    <n v="67"/>
    <n v="93.02"/>
    <s v="C"/>
    <n v="69.333333333333329"/>
    <x v="0"/>
    <x v="0"/>
  </r>
  <r>
    <s v="STU1203"/>
    <x v="54"/>
    <x v="1"/>
    <n v="21"/>
    <x v="1"/>
    <x v="5"/>
    <n v="74"/>
    <n v="58"/>
    <n v="43"/>
    <n v="83.84"/>
    <s v="D"/>
    <n v="58.333333333333336"/>
    <x v="0"/>
    <x v="2"/>
  </r>
  <r>
    <s v="STU1204"/>
    <x v="125"/>
    <x v="0"/>
    <n v="20"/>
    <x v="1"/>
    <x v="1"/>
    <n v="71"/>
    <n v="95"/>
    <n v="82"/>
    <n v="69.84"/>
    <s v="A"/>
    <n v="82.666666666666671"/>
    <x v="0"/>
    <x v="0"/>
  </r>
  <r>
    <s v="STU1205"/>
    <x v="46"/>
    <x v="0"/>
    <n v="19"/>
    <x v="4"/>
    <x v="3"/>
    <n v="46"/>
    <n v="98"/>
    <n v="64"/>
    <n v="98.06"/>
    <s v="C"/>
    <n v="69.333333333333329"/>
    <x v="0"/>
    <x v="0"/>
  </r>
  <r>
    <s v="STU1206"/>
    <x v="86"/>
    <x v="0"/>
    <n v="20"/>
    <x v="1"/>
    <x v="0"/>
    <n v="93"/>
    <n v="91"/>
    <n v="60"/>
    <n v="67.83"/>
    <s v="A"/>
    <n v="81.333333333333329"/>
    <x v="0"/>
    <x v="0"/>
  </r>
  <r>
    <s v="STU1207"/>
    <x v="117"/>
    <x v="1"/>
    <n v="20"/>
    <x v="1"/>
    <x v="0"/>
    <n v="58"/>
    <n v="79"/>
    <n v="75"/>
    <n v="99.54"/>
    <s v="B"/>
    <n v="70.666666666666671"/>
    <x v="0"/>
    <x v="0"/>
  </r>
  <r>
    <s v="STU1208"/>
    <x v="99"/>
    <x v="1"/>
    <n v="19"/>
    <x v="4"/>
    <x v="4"/>
    <n v="58"/>
    <n v="35"/>
    <n v="53"/>
    <n v="74.41"/>
    <s v="F"/>
    <n v="48.666666666666664"/>
    <x v="1"/>
    <x v="1"/>
  </r>
  <r>
    <s v="STU1209"/>
    <x v="126"/>
    <x v="0"/>
    <n v="18"/>
    <x v="4"/>
    <x v="4"/>
    <n v="63"/>
    <n v="76"/>
    <n v="63"/>
    <n v="69.14"/>
    <s v="C"/>
    <n v="67.333333333333329"/>
    <x v="0"/>
    <x v="0"/>
  </r>
  <r>
    <s v="STU1210"/>
    <x v="127"/>
    <x v="1"/>
    <n v="18"/>
    <x v="0"/>
    <x v="4"/>
    <n v="97"/>
    <n v="86"/>
    <n v="61"/>
    <n v="68.709999999999994"/>
    <s v="A"/>
    <n v="81.333333333333329"/>
    <x v="0"/>
    <x v="0"/>
  </r>
  <r>
    <s v="STU1211"/>
    <x v="128"/>
    <x v="0"/>
    <n v="18"/>
    <x v="3"/>
    <x v="4"/>
    <n v="67"/>
    <n v="67"/>
    <n v="83"/>
    <n v="88.54"/>
    <s v="B"/>
    <n v="72.333333333333329"/>
    <x v="0"/>
    <x v="0"/>
  </r>
  <r>
    <s v="STU1212"/>
    <x v="129"/>
    <x v="1"/>
    <n v="23"/>
    <x v="4"/>
    <x v="4"/>
    <n v="80"/>
    <n v="46"/>
    <n v="84"/>
    <n v="90.17"/>
    <s v="B"/>
    <n v="70"/>
    <x v="0"/>
    <x v="0"/>
  </r>
  <r>
    <s v="STU1213"/>
    <x v="5"/>
    <x v="0"/>
    <n v="23"/>
    <x v="1"/>
    <x v="2"/>
    <n v="81"/>
    <n v="52"/>
    <n v="46"/>
    <n v="83.86"/>
    <s v="D"/>
    <n v="59.666666666666664"/>
    <x v="0"/>
    <x v="2"/>
  </r>
  <r>
    <s v="STU1214"/>
    <x v="100"/>
    <x v="1"/>
    <n v="21"/>
    <x v="0"/>
    <x v="5"/>
    <n v="84"/>
    <n v="78"/>
    <n v="50"/>
    <n v="98.98"/>
    <s v="B"/>
    <n v="70.666666666666671"/>
    <x v="0"/>
    <x v="0"/>
  </r>
  <r>
    <s v="STU1215"/>
    <x v="105"/>
    <x v="0"/>
    <n v="22"/>
    <x v="3"/>
    <x v="5"/>
    <n v="81"/>
    <n v="95"/>
    <n v="42"/>
    <n v="67.27"/>
    <s v="B"/>
    <n v="72.666666666666671"/>
    <x v="0"/>
    <x v="0"/>
  </r>
  <r>
    <s v="STU1216"/>
    <x v="130"/>
    <x v="0"/>
    <n v="19"/>
    <x v="2"/>
    <x v="4"/>
    <n v="87"/>
    <n v="69"/>
    <n v="96"/>
    <n v="74.33"/>
    <s v="A"/>
    <n v="84"/>
    <x v="0"/>
    <x v="0"/>
  </r>
  <r>
    <s v="STU1217"/>
    <x v="92"/>
    <x v="0"/>
    <n v="20"/>
    <x v="3"/>
    <x v="0"/>
    <n v="79"/>
    <n v="97"/>
    <n v="87"/>
    <n v="66.86"/>
    <s v="A"/>
    <n v="87.666666666666671"/>
    <x v="0"/>
    <x v="0"/>
  </r>
  <r>
    <s v="STU1218"/>
    <x v="131"/>
    <x v="1"/>
    <n v="23"/>
    <x v="1"/>
    <x v="4"/>
    <n v="41"/>
    <n v="82"/>
    <n v="47"/>
    <n v="86.86"/>
    <s v="D"/>
    <n v="56.666666666666664"/>
    <x v="0"/>
    <x v="2"/>
  </r>
  <r>
    <s v="STU1219"/>
    <x v="132"/>
    <x v="1"/>
    <n v="20"/>
    <x v="4"/>
    <x v="5"/>
    <n v="55"/>
    <n v="64"/>
    <n v="61"/>
    <n v="69.319999999999993"/>
    <s v="C"/>
    <n v="60"/>
    <x v="0"/>
    <x v="0"/>
  </r>
  <r>
    <s v="STU1220"/>
    <x v="120"/>
    <x v="0"/>
    <n v="18"/>
    <x v="4"/>
    <x v="2"/>
    <n v="83"/>
    <n v="87"/>
    <n v="93"/>
    <n v="82.7"/>
    <s v="A"/>
    <n v="87.666666666666671"/>
    <x v="0"/>
    <x v="0"/>
  </r>
  <r>
    <s v="STU1221"/>
    <x v="19"/>
    <x v="0"/>
    <n v="18"/>
    <x v="4"/>
    <x v="1"/>
    <n v="56"/>
    <n v="94"/>
    <n v="87"/>
    <n v="77.010000000000005"/>
    <s v="B"/>
    <n v="79"/>
    <x v="0"/>
    <x v="0"/>
  </r>
  <r>
    <s v="STU1222"/>
    <x v="133"/>
    <x v="1"/>
    <n v="21"/>
    <x v="3"/>
    <x v="1"/>
    <n v="37"/>
    <n v="64"/>
    <n v="69"/>
    <n v="62.97"/>
    <s v="D"/>
    <n v="56.666666666666664"/>
    <x v="1"/>
    <x v="1"/>
  </r>
  <r>
    <s v="STU1223"/>
    <x v="134"/>
    <x v="1"/>
    <n v="23"/>
    <x v="0"/>
    <x v="4"/>
    <n v="90"/>
    <n v="87"/>
    <n v="61"/>
    <n v="70.260000000000005"/>
    <s v="B"/>
    <n v="79.333333333333329"/>
    <x v="0"/>
    <x v="0"/>
  </r>
  <r>
    <s v="STU1224"/>
    <x v="16"/>
    <x v="1"/>
    <n v="23"/>
    <x v="0"/>
    <x v="5"/>
    <n v="52"/>
    <n v="39"/>
    <n v="42"/>
    <n v="98.88"/>
    <s v="F"/>
    <n v="44.333333333333336"/>
    <x v="1"/>
    <x v="1"/>
  </r>
  <r>
    <s v="STU1225"/>
    <x v="35"/>
    <x v="0"/>
    <n v="18"/>
    <x v="0"/>
    <x v="5"/>
    <n v="89"/>
    <n v="71"/>
    <n v="51"/>
    <n v="65.55"/>
    <s v="B"/>
    <n v="70.333333333333329"/>
    <x v="0"/>
    <x v="0"/>
  </r>
  <r>
    <s v="STU1226"/>
    <x v="27"/>
    <x v="0"/>
    <n v="20"/>
    <x v="4"/>
    <x v="0"/>
    <n v="65"/>
    <n v="93"/>
    <n v="35"/>
    <n v="90.56"/>
    <s v="C"/>
    <n v="64.333333333333329"/>
    <x v="1"/>
    <x v="1"/>
  </r>
  <r>
    <s v="STU1227"/>
    <x v="106"/>
    <x v="0"/>
    <n v="21"/>
    <x v="4"/>
    <x v="2"/>
    <n v="36"/>
    <n v="63"/>
    <n v="88"/>
    <n v="94.11"/>
    <s v="C"/>
    <n v="62.333333333333336"/>
    <x v="1"/>
    <x v="1"/>
  </r>
  <r>
    <s v="STU1228"/>
    <x v="135"/>
    <x v="0"/>
    <n v="23"/>
    <x v="0"/>
    <x v="5"/>
    <n v="46"/>
    <n v="96"/>
    <n v="59"/>
    <n v="89.19"/>
    <s v="C"/>
    <n v="67"/>
    <x v="0"/>
    <x v="0"/>
  </r>
  <r>
    <s v="STU1229"/>
    <x v="70"/>
    <x v="1"/>
    <n v="22"/>
    <x v="2"/>
    <x v="3"/>
    <n v="97"/>
    <n v="58"/>
    <n v="82"/>
    <n v="75.14"/>
    <s v="B"/>
    <n v="79"/>
    <x v="0"/>
    <x v="0"/>
  </r>
  <r>
    <s v="STU1230"/>
    <x v="105"/>
    <x v="1"/>
    <n v="20"/>
    <x v="3"/>
    <x v="4"/>
    <n v="66"/>
    <n v="97"/>
    <n v="50"/>
    <n v="87"/>
    <s v="B"/>
    <n v="71"/>
    <x v="0"/>
    <x v="0"/>
  </r>
  <r>
    <s v="STU1231"/>
    <x v="28"/>
    <x v="1"/>
    <n v="19"/>
    <x v="1"/>
    <x v="1"/>
    <n v="85"/>
    <n v="39"/>
    <n v="72"/>
    <n v="79.39"/>
    <s v="C"/>
    <n v="65.333333333333329"/>
    <x v="1"/>
    <x v="1"/>
  </r>
  <r>
    <s v="STU1232"/>
    <x v="136"/>
    <x v="1"/>
    <n v="23"/>
    <x v="0"/>
    <x v="2"/>
    <n v="40"/>
    <n v="54"/>
    <n v="90"/>
    <n v="97.13"/>
    <s v="C"/>
    <n v="61.333333333333336"/>
    <x v="0"/>
    <x v="0"/>
  </r>
  <r>
    <s v="STU1233"/>
    <x v="34"/>
    <x v="0"/>
    <n v="21"/>
    <x v="2"/>
    <x v="1"/>
    <n v="41"/>
    <n v="48"/>
    <n v="76"/>
    <n v="68.03"/>
    <s v="D"/>
    <n v="55"/>
    <x v="0"/>
    <x v="2"/>
  </r>
  <r>
    <s v="STU1234"/>
    <x v="137"/>
    <x v="1"/>
    <n v="22"/>
    <x v="3"/>
    <x v="2"/>
    <n v="42"/>
    <n v="93"/>
    <n v="86"/>
    <n v="91.54"/>
    <s v="B"/>
    <n v="73.666666666666671"/>
    <x v="0"/>
    <x v="0"/>
  </r>
  <r>
    <s v="STU1235"/>
    <x v="138"/>
    <x v="0"/>
    <n v="18"/>
    <x v="4"/>
    <x v="1"/>
    <n v="75"/>
    <n v="72"/>
    <n v="78"/>
    <n v="89.13"/>
    <s v="B"/>
    <n v="75"/>
    <x v="0"/>
    <x v="0"/>
  </r>
  <r>
    <s v="STU1236"/>
    <x v="101"/>
    <x v="1"/>
    <n v="23"/>
    <x v="1"/>
    <x v="2"/>
    <n v="83"/>
    <n v="58"/>
    <n v="53"/>
    <n v="63.57"/>
    <s v="C"/>
    <n v="64.666666666666671"/>
    <x v="0"/>
    <x v="0"/>
  </r>
  <r>
    <s v="STU1237"/>
    <x v="139"/>
    <x v="1"/>
    <n v="20"/>
    <x v="1"/>
    <x v="5"/>
    <n v="75"/>
    <n v="98"/>
    <n v="55"/>
    <n v="93.73"/>
    <s v="B"/>
    <n v="76"/>
    <x v="0"/>
    <x v="0"/>
  </r>
  <r>
    <s v="STU1238"/>
    <x v="132"/>
    <x v="1"/>
    <n v="21"/>
    <x v="4"/>
    <x v="1"/>
    <n v="67"/>
    <n v="85"/>
    <n v="93"/>
    <n v="73.959999999999994"/>
    <s v="A"/>
    <n v="81.666666666666671"/>
    <x v="0"/>
    <x v="0"/>
  </r>
  <r>
    <s v="STU1239"/>
    <x v="69"/>
    <x v="1"/>
    <n v="21"/>
    <x v="0"/>
    <x v="4"/>
    <n v="72"/>
    <n v="80"/>
    <n v="54"/>
    <n v="93.38"/>
    <s v="C"/>
    <n v="68.666666666666671"/>
    <x v="0"/>
    <x v="0"/>
  </r>
  <r>
    <s v="STU1240"/>
    <x v="2"/>
    <x v="1"/>
    <n v="19"/>
    <x v="1"/>
    <x v="0"/>
    <n v="68"/>
    <n v="57"/>
    <n v="77"/>
    <n v="93.06"/>
    <s v="C"/>
    <n v="67.333333333333329"/>
    <x v="0"/>
    <x v="0"/>
  </r>
  <r>
    <s v="STU1241"/>
    <x v="14"/>
    <x v="1"/>
    <n v="22"/>
    <x v="3"/>
    <x v="2"/>
    <n v="100"/>
    <n v="85"/>
    <n v="39"/>
    <n v="98.98"/>
    <s v="B"/>
    <n v="74.666666666666671"/>
    <x v="1"/>
    <x v="1"/>
  </r>
  <r>
    <s v="STU1242"/>
    <x v="140"/>
    <x v="0"/>
    <n v="23"/>
    <x v="4"/>
    <x v="4"/>
    <n v="38"/>
    <n v="83"/>
    <n v="84"/>
    <n v="76.36"/>
    <s v="C"/>
    <n v="68.333333333333329"/>
    <x v="1"/>
    <x v="1"/>
  </r>
  <r>
    <s v="STU1243"/>
    <x v="141"/>
    <x v="0"/>
    <n v="20"/>
    <x v="0"/>
    <x v="4"/>
    <n v="50"/>
    <n v="64"/>
    <n v="68"/>
    <n v="98.03"/>
    <s v="C"/>
    <n v="60.666666666666664"/>
    <x v="0"/>
    <x v="0"/>
  </r>
  <r>
    <s v="STU1244"/>
    <x v="96"/>
    <x v="0"/>
    <n v="23"/>
    <x v="1"/>
    <x v="3"/>
    <n v="75"/>
    <n v="56"/>
    <n v="83"/>
    <n v="76.849999999999994"/>
    <s v="B"/>
    <n v="71.333333333333329"/>
    <x v="0"/>
    <x v="0"/>
  </r>
  <r>
    <s v="STU1245"/>
    <x v="43"/>
    <x v="0"/>
    <n v="19"/>
    <x v="0"/>
    <x v="3"/>
    <n v="66"/>
    <n v="38"/>
    <n v="57"/>
    <n v="74.709999999999994"/>
    <s v="D"/>
    <n v="53.666666666666664"/>
    <x v="1"/>
    <x v="1"/>
  </r>
  <r>
    <s v="STU1246"/>
    <x v="98"/>
    <x v="0"/>
    <n v="23"/>
    <x v="4"/>
    <x v="2"/>
    <n v="65"/>
    <n v="42"/>
    <n v="89"/>
    <n v="94.97"/>
    <s v="C"/>
    <n v="65.333333333333329"/>
    <x v="0"/>
    <x v="0"/>
  </r>
  <r>
    <s v="STU1247"/>
    <x v="138"/>
    <x v="0"/>
    <n v="20"/>
    <x v="0"/>
    <x v="2"/>
    <n v="79"/>
    <n v="95"/>
    <n v="66"/>
    <n v="97.71"/>
    <s v="A"/>
    <n v="80"/>
    <x v="0"/>
    <x v="0"/>
  </r>
  <r>
    <s v="STU1248"/>
    <x v="3"/>
    <x v="1"/>
    <n v="23"/>
    <x v="3"/>
    <x v="4"/>
    <n v="61"/>
    <n v="42"/>
    <n v="46"/>
    <n v="63.07"/>
    <s v="F"/>
    <n v="49.666666666666664"/>
    <x v="0"/>
    <x v="2"/>
  </r>
  <r>
    <s v="STU1249"/>
    <x v="142"/>
    <x v="0"/>
    <n v="22"/>
    <x v="4"/>
    <x v="2"/>
    <n v="54"/>
    <n v="65"/>
    <n v="69"/>
    <n v="77.849999999999994"/>
    <s v="C"/>
    <n v="62.666666666666664"/>
    <x v="0"/>
    <x v="0"/>
  </r>
  <r>
    <s v="STU1250"/>
    <x v="143"/>
    <x v="0"/>
    <n v="18"/>
    <x v="2"/>
    <x v="1"/>
    <n v="62"/>
    <n v="85"/>
    <n v="57"/>
    <n v="96.14"/>
    <s v="C"/>
    <n v="68"/>
    <x v="0"/>
    <x v="0"/>
  </r>
  <r>
    <s v="STU1251"/>
    <x v="46"/>
    <x v="1"/>
    <n v="19"/>
    <x v="1"/>
    <x v="5"/>
    <n v="42"/>
    <n v="50"/>
    <n v="77"/>
    <n v="73.510000000000005"/>
    <s v="D"/>
    <n v="56.333333333333336"/>
    <x v="0"/>
    <x v="2"/>
  </r>
  <r>
    <s v="STU1252"/>
    <x v="94"/>
    <x v="1"/>
    <n v="23"/>
    <x v="2"/>
    <x v="5"/>
    <n v="85"/>
    <n v="79"/>
    <n v="70"/>
    <n v="69.150000000000006"/>
    <s v="B"/>
    <n v="78"/>
    <x v="0"/>
    <x v="0"/>
  </r>
  <r>
    <s v="STU1253"/>
    <x v="36"/>
    <x v="1"/>
    <n v="20"/>
    <x v="0"/>
    <x v="2"/>
    <n v="68"/>
    <n v="42"/>
    <n v="36"/>
    <n v="65.09"/>
    <s v="F"/>
    <n v="48.666666666666664"/>
    <x v="1"/>
    <x v="1"/>
  </r>
  <r>
    <s v="STU1254"/>
    <x v="36"/>
    <x v="0"/>
    <n v="18"/>
    <x v="3"/>
    <x v="2"/>
    <n v="64"/>
    <n v="71"/>
    <n v="88"/>
    <n v="97.19"/>
    <s v="B"/>
    <n v="74.333333333333329"/>
    <x v="0"/>
    <x v="0"/>
  </r>
  <r>
    <s v="STU1255"/>
    <x v="144"/>
    <x v="1"/>
    <n v="18"/>
    <x v="1"/>
    <x v="5"/>
    <n v="39"/>
    <n v="41"/>
    <n v="92"/>
    <n v="67.510000000000005"/>
    <s v="D"/>
    <n v="57.333333333333336"/>
    <x v="1"/>
    <x v="1"/>
  </r>
  <r>
    <s v="STU1256"/>
    <x v="39"/>
    <x v="0"/>
    <n v="22"/>
    <x v="4"/>
    <x v="3"/>
    <n v="35"/>
    <n v="69"/>
    <n v="66"/>
    <n v="73.25"/>
    <s v="D"/>
    <n v="56.666666666666664"/>
    <x v="1"/>
    <x v="1"/>
  </r>
  <r>
    <s v="STU1257"/>
    <x v="95"/>
    <x v="1"/>
    <n v="22"/>
    <x v="4"/>
    <x v="5"/>
    <n v="51"/>
    <n v="51"/>
    <n v="97"/>
    <n v="74.88"/>
    <s v="C"/>
    <n v="66.333333333333329"/>
    <x v="0"/>
    <x v="0"/>
  </r>
  <r>
    <s v="STU1258"/>
    <x v="145"/>
    <x v="1"/>
    <n v="22"/>
    <x v="1"/>
    <x v="4"/>
    <n v="63"/>
    <n v="97"/>
    <n v="35"/>
    <n v="84.49"/>
    <s v="C"/>
    <n v="65"/>
    <x v="1"/>
    <x v="1"/>
  </r>
  <r>
    <s v="STU1259"/>
    <x v="14"/>
    <x v="1"/>
    <n v="23"/>
    <x v="1"/>
    <x v="3"/>
    <n v="47"/>
    <n v="72"/>
    <n v="38"/>
    <n v="89.5"/>
    <s v="D"/>
    <n v="52.333333333333336"/>
    <x v="1"/>
    <x v="1"/>
  </r>
  <r>
    <s v="STU1260"/>
    <x v="87"/>
    <x v="1"/>
    <n v="18"/>
    <x v="1"/>
    <x v="3"/>
    <n v="69"/>
    <n v="88"/>
    <n v="75"/>
    <n v="74.599999999999994"/>
    <s v="B"/>
    <n v="77.333333333333329"/>
    <x v="0"/>
    <x v="0"/>
  </r>
  <r>
    <s v="STU1261"/>
    <x v="106"/>
    <x v="1"/>
    <n v="19"/>
    <x v="4"/>
    <x v="4"/>
    <n v="90"/>
    <n v="61"/>
    <n v="93"/>
    <n v="69.27"/>
    <s v="A"/>
    <n v="81.333333333333329"/>
    <x v="0"/>
    <x v="0"/>
  </r>
  <r>
    <s v="STU1262"/>
    <x v="4"/>
    <x v="0"/>
    <n v="18"/>
    <x v="3"/>
    <x v="5"/>
    <n v="72"/>
    <n v="97"/>
    <n v="68"/>
    <n v="82.77"/>
    <s v="B"/>
    <n v="79"/>
    <x v="0"/>
    <x v="0"/>
  </r>
  <r>
    <s v="STU1263"/>
    <x v="45"/>
    <x v="0"/>
    <n v="18"/>
    <x v="4"/>
    <x v="2"/>
    <n v="46"/>
    <n v="62"/>
    <n v="66"/>
    <n v="90.5"/>
    <s v="D"/>
    <n v="58"/>
    <x v="0"/>
    <x v="2"/>
  </r>
  <r>
    <s v="STU1264"/>
    <x v="141"/>
    <x v="0"/>
    <n v="23"/>
    <x v="0"/>
    <x v="0"/>
    <n v="66"/>
    <n v="49"/>
    <n v="88"/>
    <n v="65.03"/>
    <s v="C"/>
    <n v="67.666666666666671"/>
    <x v="0"/>
    <x v="0"/>
  </r>
  <r>
    <s v="STU1265"/>
    <x v="146"/>
    <x v="1"/>
    <n v="18"/>
    <x v="0"/>
    <x v="2"/>
    <n v="92"/>
    <n v="58"/>
    <n v="44"/>
    <n v="93.12"/>
    <s v="C"/>
    <n v="64.666666666666671"/>
    <x v="0"/>
    <x v="0"/>
  </r>
  <r>
    <s v="STU1266"/>
    <x v="147"/>
    <x v="1"/>
    <n v="22"/>
    <x v="2"/>
    <x v="5"/>
    <n v="90"/>
    <n v="51"/>
    <n v="95"/>
    <n v="89.17"/>
    <s v="B"/>
    <n v="78.666666666666671"/>
    <x v="0"/>
    <x v="0"/>
  </r>
  <r>
    <s v="STU1267"/>
    <x v="146"/>
    <x v="0"/>
    <n v="18"/>
    <x v="4"/>
    <x v="5"/>
    <n v="75"/>
    <n v="85"/>
    <n v="49"/>
    <n v="96.33"/>
    <s v="C"/>
    <n v="69.666666666666671"/>
    <x v="0"/>
    <x v="0"/>
  </r>
  <r>
    <s v="STU1268"/>
    <x v="69"/>
    <x v="1"/>
    <n v="19"/>
    <x v="2"/>
    <x v="1"/>
    <n v="40"/>
    <n v="69"/>
    <n v="67"/>
    <n v="82.35"/>
    <s v="D"/>
    <n v="58.666666666666664"/>
    <x v="0"/>
    <x v="2"/>
  </r>
  <r>
    <s v="STU1269"/>
    <x v="136"/>
    <x v="0"/>
    <n v="21"/>
    <x v="2"/>
    <x v="0"/>
    <n v="58"/>
    <n v="97"/>
    <n v="95"/>
    <n v="95.46"/>
    <s v="A"/>
    <n v="83.333333333333329"/>
    <x v="0"/>
    <x v="0"/>
  </r>
  <r>
    <s v="STU1270"/>
    <x v="41"/>
    <x v="1"/>
    <n v="23"/>
    <x v="1"/>
    <x v="4"/>
    <n v="47"/>
    <n v="43"/>
    <n v="89"/>
    <n v="68.94"/>
    <s v="D"/>
    <n v="59.666666666666664"/>
    <x v="0"/>
    <x v="2"/>
  </r>
  <r>
    <s v="STU1271"/>
    <x v="53"/>
    <x v="1"/>
    <n v="23"/>
    <x v="2"/>
    <x v="5"/>
    <n v="65"/>
    <n v="45"/>
    <n v="35"/>
    <n v="82.36"/>
    <s v="F"/>
    <n v="48.333333333333336"/>
    <x v="1"/>
    <x v="1"/>
  </r>
  <r>
    <s v="STU1272"/>
    <x v="148"/>
    <x v="0"/>
    <n v="20"/>
    <x v="4"/>
    <x v="2"/>
    <n v="94"/>
    <n v="58"/>
    <n v="83"/>
    <n v="98.02"/>
    <s v="B"/>
    <n v="78.333333333333329"/>
    <x v="0"/>
    <x v="0"/>
  </r>
  <r>
    <s v="STU1273"/>
    <x v="27"/>
    <x v="0"/>
    <n v="19"/>
    <x v="2"/>
    <x v="5"/>
    <n v="61"/>
    <n v="92"/>
    <n v="95"/>
    <n v="69.92"/>
    <s v="A"/>
    <n v="82.666666666666671"/>
    <x v="0"/>
    <x v="0"/>
  </r>
  <r>
    <s v="STU1274"/>
    <x v="37"/>
    <x v="0"/>
    <n v="22"/>
    <x v="1"/>
    <x v="2"/>
    <n v="67"/>
    <n v="92"/>
    <n v="71"/>
    <n v="62.9"/>
    <s v="B"/>
    <n v="76.666666666666671"/>
    <x v="0"/>
    <x v="0"/>
  </r>
  <r>
    <s v="STU1275"/>
    <x v="149"/>
    <x v="1"/>
    <n v="23"/>
    <x v="2"/>
    <x v="3"/>
    <n v="48"/>
    <n v="71"/>
    <n v="92"/>
    <n v="95.02"/>
    <s v="B"/>
    <n v="70.333333333333329"/>
    <x v="0"/>
    <x v="0"/>
  </r>
  <r>
    <s v="STU1276"/>
    <x v="30"/>
    <x v="1"/>
    <n v="23"/>
    <x v="4"/>
    <x v="5"/>
    <n v="58"/>
    <n v="79"/>
    <n v="76"/>
    <n v="95.92"/>
    <s v="B"/>
    <n v="71"/>
    <x v="0"/>
    <x v="0"/>
  </r>
  <r>
    <s v="STU1277"/>
    <x v="150"/>
    <x v="1"/>
    <n v="19"/>
    <x v="2"/>
    <x v="0"/>
    <n v="43"/>
    <n v="96"/>
    <n v="53"/>
    <n v="75.5"/>
    <s v="C"/>
    <n v="64"/>
    <x v="0"/>
    <x v="0"/>
  </r>
  <r>
    <s v="STU1278"/>
    <x v="63"/>
    <x v="0"/>
    <n v="18"/>
    <x v="2"/>
    <x v="0"/>
    <n v="49"/>
    <n v="54"/>
    <n v="79"/>
    <n v="92.39"/>
    <s v="C"/>
    <n v="60.666666666666664"/>
    <x v="0"/>
    <x v="0"/>
  </r>
  <r>
    <s v="STU1279"/>
    <x v="46"/>
    <x v="1"/>
    <n v="21"/>
    <x v="3"/>
    <x v="5"/>
    <n v="58"/>
    <n v="96"/>
    <n v="77"/>
    <n v="85.73"/>
    <s v="B"/>
    <n v="77"/>
    <x v="0"/>
    <x v="0"/>
  </r>
  <r>
    <s v="STU1280"/>
    <x v="95"/>
    <x v="0"/>
    <n v="21"/>
    <x v="2"/>
    <x v="4"/>
    <n v="92"/>
    <n v="60"/>
    <n v="43"/>
    <n v="67.13"/>
    <s v="C"/>
    <n v="65"/>
    <x v="0"/>
    <x v="0"/>
  </r>
  <r>
    <s v="STU1281"/>
    <x v="64"/>
    <x v="0"/>
    <n v="23"/>
    <x v="3"/>
    <x v="5"/>
    <n v="44"/>
    <n v="82"/>
    <n v="56"/>
    <n v="91.68"/>
    <s v="C"/>
    <n v="60.666666666666664"/>
    <x v="0"/>
    <x v="0"/>
  </r>
  <r>
    <s v="STU1282"/>
    <x v="151"/>
    <x v="0"/>
    <n v="20"/>
    <x v="1"/>
    <x v="3"/>
    <n v="45"/>
    <n v="52"/>
    <n v="82"/>
    <n v="93.96"/>
    <s v="D"/>
    <n v="59.666666666666664"/>
    <x v="0"/>
    <x v="2"/>
  </r>
  <r>
    <s v="STU1283"/>
    <x v="67"/>
    <x v="1"/>
    <n v="22"/>
    <x v="2"/>
    <x v="3"/>
    <n v="73"/>
    <n v="97"/>
    <n v="36"/>
    <n v="91.62"/>
    <s v="C"/>
    <n v="68.666666666666671"/>
    <x v="1"/>
    <x v="1"/>
  </r>
  <r>
    <s v="STU1284"/>
    <x v="152"/>
    <x v="1"/>
    <n v="22"/>
    <x v="3"/>
    <x v="2"/>
    <n v="90"/>
    <n v="100"/>
    <n v="43"/>
    <n v="64.099999999999994"/>
    <s v="B"/>
    <n v="77.666666666666671"/>
    <x v="0"/>
    <x v="0"/>
  </r>
  <r>
    <s v="STU1285"/>
    <x v="63"/>
    <x v="0"/>
    <n v="20"/>
    <x v="0"/>
    <x v="0"/>
    <n v="45"/>
    <n v="86"/>
    <n v="53"/>
    <n v="70.72"/>
    <s v="C"/>
    <n v="61.333333333333336"/>
    <x v="0"/>
    <x v="0"/>
  </r>
  <r>
    <s v="STU1286"/>
    <x v="153"/>
    <x v="1"/>
    <n v="19"/>
    <x v="1"/>
    <x v="3"/>
    <n v="37"/>
    <n v="66"/>
    <n v="98"/>
    <n v="93.41"/>
    <s v="C"/>
    <n v="67"/>
    <x v="1"/>
    <x v="1"/>
  </r>
  <r>
    <s v="STU1287"/>
    <x v="13"/>
    <x v="1"/>
    <n v="18"/>
    <x v="3"/>
    <x v="5"/>
    <n v="43"/>
    <n v="81"/>
    <n v="71"/>
    <n v="79.06"/>
    <s v="C"/>
    <n v="65"/>
    <x v="0"/>
    <x v="0"/>
  </r>
  <r>
    <s v="STU1288"/>
    <x v="36"/>
    <x v="1"/>
    <n v="21"/>
    <x v="3"/>
    <x v="1"/>
    <n v="64"/>
    <n v="98"/>
    <n v="39"/>
    <n v="92.14"/>
    <s v="C"/>
    <n v="67"/>
    <x v="1"/>
    <x v="1"/>
  </r>
  <r>
    <s v="STU1289"/>
    <x v="4"/>
    <x v="0"/>
    <n v="20"/>
    <x v="3"/>
    <x v="4"/>
    <n v="52"/>
    <n v="47"/>
    <n v="64"/>
    <n v="80.55"/>
    <s v="D"/>
    <n v="54.333333333333336"/>
    <x v="0"/>
    <x v="2"/>
  </r>
  <r>
    <s v="STU1290"/>
    <x v="13"/>
    <x v="1"/>
    <n v="22"/>
    <x v="4"/>
    <x v="5"/>
    <n v="36"/>
    <n v="67"/>
    <n v="74"/>
    <n v="63.86"/>
    <s v="D"/>
    <n v="59"/>
    <x v="1"/>
    <x v="1"/>
  </r>
  <r>
    <s v="STU1291"/>
    <x v="154"/>
    <x v="0"/>
    <n v="20"/>
    <x v="3"/>
    <x v="0"/>
    <n v="66"/>
    <n v="37"/>
    <n v="98"/>
    <n v="85.02"/>
    <s v="C"/>
    <n v="67"/>
    <x v="1"/>
    <x v="1"/>
  </r>
  <r>
    <s v="STU1292"/>
    <x v="83"/>
    <x v="0"/>
    <n v="22"/>
    <x v="2"/>
    <x v="4"/>
    <n v="85"/>
    <n v="59"/>
    <n v="88"/>
    <n v="95.64"/>
    <s v="B"/>
    <n v="77.333333333333329"/>
    <x v="0"/>
    <x v="0"/>
  </r>
  <r>
    <s v="STU1293"/>
    <x v="155"/>
    <x v="1"/>
    <n v="20"/>
    <x v="3"/>
    <x v="5"/>
    <n v="95"/>
    <n v="54"/>
    <n v="93"/>
    <n v="75.25"/>
    <s v="A"/>
    <n v="80.666666666666671"/>
    <x v="0"/>
    <x v="0"/>
  </r>
  <r>
    <s v="STU1294"/>
    <x v="8"/>
    <x v="1"/>
    <n v="23"/>
    <x v="1"/>
    <x v="0"/>
    <n v="54"/>
    <n v="86"/>
    <n v="90"/>
    <n v="86.62"/>
    <s v="B"/>
    <n v="76.666666666666671"/>
    <x v="0"/>
    <x v="0"/>
  </r>
  <r>
    <s v="STU1295"/>
    <x v="111"/>
    <x v="1"/>
    <n v="21"/>
    <x v="0"/>
    <x v="2"/>
    <n v="53"/>
    <n v="93"/>
    <n v="64"/>
    <n v="82.93"/>
    <s v="B"/>
    <n v="70"/>
    <x v="0"/>
    <x v="0"/>
  </r>
  <r>
    <s v="STU1296"/>
    <x v="73"/>
    <x v="1"/>
    <n v="22"/>
    <x v="2"/>
    <x v="1"/>
    <n v="47"/>
    <n v="91"/>
    <n v="35"/>
    <n v="82.93"/>
    <s v="D"/>
    <n v="57.666666666666664"/>
    <x v="1"/>
    <x v="1"/>
  </r>
  <r>
    <s v="STU1297"/>
    <x v="33"/>
    <x v="0"/>
    <n v="19"/>
    <x v="4"/>
    <x v="3"/>
    <n v="65"/>
    <n v="90"/>
    <n v="90"/>
    <n v="63"/>
    <s v="A"/>
    <n v="81.666666666666671"/>
    <x v="0"/>
    <x v="0"/>
  </r>
  <r>
    <s v="STU1298"/>
    <x v="80"/>
    <x v="1"/>
    <n v="22"/>
    <x v="3"/>
    <x v="2"/>
    <n v="46"/>
    <n v="83"/>
    <n v="83"/>
    <n v="74.569999999999993"/>
    <s v="B"/>
    <n v="70.666666666666671"/>
    <x v="0"/>
    <x v="0"/>
  </r>
  <r>
    <s v="STU1299"/>
    <x v="12"/>
    <x v="1"/>
    <n v="18"/>
    <x v="4"/>
    <x v="1"/>
    <n v="67"/>
    <n v="84"/>
    <n v="41"/>
    <n v="80.180000000000007"/>
    <s v="C"/>
    <n v="64"/>
    <x v="0"/>
    <x v="0"/>
  </r>
  <r>
    <s v="STU1300"/>
    <x v="12"/>
    <x v="1"/>
    <n v="22"/>
    <x v="0"/>
    <x v="3"/>
    <n v="67"/>
    <n v="75"/>
    <n v="57"/>
    <n v="98.07"/>
    <s v="C"/>
    <n v="66.333333333333329"/>
    <x v="0"/>
    <x v="0"/>
  </r>
  <r>
    <s v="STU1301"/>
    <x v="156"/>
    <x v="1"/>
    <n v="19"/>
    <x v="4"/>
    <x v="4"/>
    <n v="75"/>
    <n v="95"/>
    <n v="47"/>
    <n v="78.34"/>
    <s v="B"/>
    <n v="72.333333333333329"/>
    <x v="0"/>
    <x v="0"/>
  </r>
  <r>
    <s v="STU1302"/>
    <x v="37"/>
    <x v="1"/>
    <n v="20"/>
    <x v="1"/>
    <x v="1"/>
    <n v="71"/>
    <n v="63"/>
    <n v="87"/>
    <n v="85.29"/>
    <s v="B"/>
    <n v="73.666666666666671"/>
    <x v="0"/>
    <x v="0"/>
  </r>
  <r>
    <s v="STU1303"/>
    <x v="20"/>
    <x v="1"/>
    <n v="18"/>
    <x v="1"/>
    <x v="4"/>
    <n v="91"/>
    <n v="83"/>
    <n v="94"/>
    <n v="98.8"/>
    <s v="A"/>
    <n v="89.333333333333329"/>
    <x v="0"/>
    <x v="0"/>
  </r>
  <r>
    <s v="STU1304"/>
    <x v="157"/>
    <x v="1"/>
    <n v="23"/>
    <x v="3"/>
    <x v="3"/>
    <n v="68"/>
    <n v="36"/>
    <n v="94"/>
    <n v="77.27"/>
    <s v="C"/>
    <n v="66"/>
    <x v="1"/>
    <x v="1"/>
  </r>
  <r>
    <s v="STU1305"/>
    <x v="48"/>
    <x v="0"/>
    <n v="22"/>
    <x v="1"/>
    <x v="2"/>
    <n v="43"/>
    <n v="65"/>
    <n v="37"/>
    <n v="82.05"/>
    <s v="F"/>
    <n v="48.333333333333336"/>
    <x v="1"/>
    <x v="1"/>
  </r>
  <r>
    <s v="STU1306"/>
    <x v="50"/>
    <x v="0"/>
    <n v="23"/>
    <x v="4"/>
    <x v="5"/>
    <n v="97"/>
    <n v="70"/>
    <n v="56"/>
    <n v="80.349999999999994"/>
    <s v="B"/>
    <n v="74.333333333333329"/>
    <x v="0"/>
    <x v="0"/>
  </r>
  <r>
    <s v="STU1307"/>
    <x v="90"/>
    <x v="1"/>
    <n v="19"/>
    <x v="0"/>
    <x v="0"/>
    <n v="44"/>
    <n v="88"/>
    <n v="92"/>
    <n v="67.39"/>
    <s v="B"/>
    <n v="74.666666666666671"/>
    <x v="0"/>
    <x v="0"/>
  </r>
  <r>
    <s v="STU1308"/>
    <x v="16"/>
    <x v="1"/>
    <n v="21"/>
    <x v="4"/>
    <x v="2"/>
    <n v="90"/>
    <n v="98"/>
    <n v="66"/>
    <n v="78.59"/>
    <s v="A"/>
    <n v="84.666666666666671"/>
    <x v="0"/>
    <x v="0"/>
  </r>
  <r>
    <s v="STU1309"/>
    <x v="83"/>
    <x v="1"/>
    <n v="19"/>
    <x v="4"/>
    <x v="3"/>
    <n v="61"/>
    <n v="76"/>
    <n v="56"/>
    <n v="83.68"/>
    <s v="C"/>
    <n v="64.333333333333329"/>
    <x v="0"/>
    <x v="0"/>
  </r>
  <r>
    <s v="STU1310"/>
    <x v="149"/>
    <x v="1"/>
    <n v="21"/>
    <x v="0"/>
    <x v="1"/>
    <n v="46"/>
    <n v="88"/>
    <n v="75"/>
    <n v="78.599999999999994"/>
    <s v="C"/>
    <n v="69.666666666666671"/>
    <x v="0"/>
    <x v="0"/>
  </r>
  <r>
    <s v="STU1311"/>
    <x v="158"/>
    <x v="0"/>
    <n v="21"/>
    <x v="0"/>
    <x v="0"/>
    <n v="94"/>
    <n v="85"/>
    <n v="40"/>
    <n v="89.75"/>
    <s v="B"/>
    <n v="73"/>
    <x v="0"/>
    <x v="0"/>
  </r>
  <r>
    <s v="STU1312"/>
    <x v="159"/>
    <x v="1"/>
    <n v="18"/>
    <x v="4"/>
    <x v="4"/>
    <n v="67"/>
    <n v="43"/>
    <n v="88"/>
    <n v="74.790000000000006"/>
    <s v="C"/>
    <n v="66"/>
    <x v="0"/>
    <x v="0"/>
  </r>
  <r>
    <s v="STU1313"/>
    <x v="22"/>
    <x v="0"/>
    <n v="18"/>
    <x v="1"/>
    <x v="2"/>
    <n v="87"/>
    <n v="88"/>
    <n v="85"/>
    <n v="77.64"/>
    <s v="A"/>
    <n v="86.666666666666671"/>
    <x v="0"/>
    <x v="0"/>
  </r>
  <r>
    <s v="STU1314"/>
    <x v="144"/>
    <x v="0"/>
    <n v="18"/>
    <x v="0"/>
    <x v="3"/>
    <n v="85"/>
    <n v="40"/>
    <n v="42"/>
    <n v="73.23"/>
    <s v="D"/>
    <n v="55.666666666666664"/>
    <x v="0"/>
    <x v="2"/>
  </r>
  <r>
    <s v="STU1315"/>
    <x v="8"/>
    <x v="0"/>
    <n v="18"/>
    <x v="2"/>
    <x v="0"/>
    <n v="86"/>
    <n v="95"/>
    <n v="47"/>
    <n v="89.34"/>
    <s v="B"/>
    <n v="76"/>
    <x v="0"/>
    <x v="0"/>
  </r>
  <r>
    <s v="STU1316"/>
    <x v="57"/>
    <x v="0"/>
    <n v="19"/>
    <x v="2"/>
    <x v="5"/>
    <n v="54"/>
    <n v="47"/>
    <n v="75"/>
    <n v="67.459999999999994"/>
    <s v="D"/>
    <n v="58.666666666666664"/>
    <x v="0"/>
    <x v="2"/>
  </r>
  <r>
    <s v="STU1317"/>
    <x v="73"/>
    <x v="0"/>
    <n v="23"/>
    <x v="3"/>
    <x v="4"/>
    <n v="51"/>
    <n v="73"/>
    <n v="64"/>
    <n v="75.97"/>
    <s v="C"/>
    <n v="62.666666666666664"/>
    <x v="0"/>
    <x v="0"/>
  </r>
  <r>
    <s v="STU1318"/>
    <x v="117"/>
    <x v="0"/>
    <n v="19"/>
    <x v="3"/>
    <x v="2"/>
    <n v="49"/>
    <n v="58"/>
    <n v="54"/>
    <n v="81.150000000000006"/>
    <s v="D"/>
    <n v="53.666666666666664"/>
    <x v="0"/>
    <x v="2"/>
  </r>
  <r>
    <s v="STU1319"/>
    <x v="160"/>
    <x v="1"/>
    <n v="21"/>
    <x v="2"/>
    <x v="0"/>
    <n v="77"/>
    <n v="45"/>
    <n v="42"/>
    <n v="91.82"/>
    <s v="D"/>
    <n v="54.666666666666664"/>
    <x v="0"/>
    <x v="2"/>
  </r>
  <r>
    <s v="STU1320"/>
    <x v="0"/>
    <x v="0"/>
    <n v="19"/>
    <x v="1"/>
    <x v="4"/>
    <n v="42"/>
    <n v="52"/>
    <n v="71"/>
    <n v="83.05"/>
    <s v="D"/>
    <n v="55"/>
    <x v="0"/>
    <x v="2"/>
  </r>
  <r>
    <s v="STU1321"/>
    <x v="161"/>
    <x v="0"/>
    <n v="18"/>
    <x v="1"/>
    <x v="5"/>
    <n v="68"/>
    <n v="46"/>
    <n v="55"/>
    <n v="85.27"/>
    <s v="D"/>
    <n v="56.333333333333336"/>
    <x v="0"/>
    <x v="2"/>
  </r>
  <r>
    <s v="STU1322"/>
    <x v="49"/>
    <x v="1"/>
    <n v="20"/>
    <x v="2"/>
    <x v="3"/>
    <n v="81"/>
    <n v="85"/>
    <n v="82"/>
    <n v="95.39"/>
    <s v="A"/>
    <n v="82.666666666666671"/>
    <x v="0"/>
    <x v="0"/>
  </r>
  <r>
    <s v="STU1323"/>
    <x v="74"/>
    <x v="1"/>
    <n v="18"/>
    <x v="4"/>
    <x v="3"/>
    <n v="79"/>
    <n v="80"/>
    <n v="85"/>
    <n v="94.37"/>
    <s v="A"/>
    <n v="81.333333333333329"/>
    <x v="0"/>
    <x v="0"/>
  </r>
  <r>
    <s v="STU1324"/>
    <x v="103"/>
    <x v="1"/>
    <n v="22"/>
    <x v="2"/>
    <x v="1"/>
    <n v="93"/>
    <n v="95"/>
    <n v="65"/>
    <n v="96.74"/>
    <s v="A"/>
    <n v="84.333333333333329"/>
    <x v="0"/>
    <x v="0"/>
  </r>
  <r>
    <s v="STU1325"/>
    <x v="85"/>
    <x v="1"/>
    <n v="20"/>
    <x v="2"/>
    <x v="5"/>
    <n v="52"/>
    <n v="49"/>
    <n v="70"/>
    <n v="74.91"/>
    <s v="D"/>
    <n v="57"/>
    <x v="0"/>
    <x v="2"/>
  </r>
  <r>
    <s v="STU1326"/>
    <x v="20"/>
    <x v="1"/>
    <n v="18"/>
    <x v="3"/>
    <x v="1"/>
    <n v="74"/>
    <n v="82"/>
    <n v="42"/>
    <n v="78.91"/>
    <s v="C"/>
    <n v="66"/>
    <x v="0"/>
    <x v="0"/>
  </r>
  <r>
    <s v="STU1327"/>
    <x v="162"/>
    <x v="1"/>
    <n v="19"/>
    <x v="4"/>
    <x v="4"/>
    <n v="65"/>
    <n v="59"/>
    <n v="96"/>
    <n v="78.790000000000006"/>
    <s v="B"/>
    <n v="73.333333333333329"/>
    <x v="0"/>
    <x v="0"/>
  </r>
  <r>
    <s v="STU1328"/>
    <x v="20"/>
    <x v="0"/>
    <n v="18"/>
    <x v="4"/>
    <x v="4"/>
    <n v="50"/>
    <n v="81"/>
    <n v="56"/>
    <n v="82.83"/>
    <s v="C"/>
    <n v="62.333333333333336"/>
    <x v="0"/>
    <x v="0"/>
  </r>
  <r>
    <s v="STU1329"/>
    <x v="47"/>
    <x v="0"/>
    <n v="18"/>
    <x v="3"/>
    <x v="3"/>
    <n v="47"/>
    <n v="71"/>
    <n v="73"/>
    <n v="65.650000000000006"/>
    <s v="C"/>
    <n v="63.666666666666664"/>
    <x v="0"/>
    <x v="0"/>
  </r>
  <r>
    <s v="STU1330"/>
    <x v="28"/>
    <x v="0"/>
    <n v="22"/>
    <x v="0"/>
    <x v="3"/>
    <n v="100"/>
    <n v="61"/>
    <n v="47"/>
    <n v="79.739999999999995"/>
    <s v="C"/>
    <n v="69.333333333333329"/>
    <x v="0"/>
    <x v="0"/>
  </r>
  <r>
    <s v="STU1331"/>
    <x v="72"/>
    <x v="0"/>
    <n v="18"/>
    <x v="1"/>
    <x v="0"/>
    <n v="68"/>
    <n v="84"/>
    <n v="54"/>
    <n v="60.16"/>
    <s v="C"/>
    <n v="68.666666666666671"/>
    <x v="0"/>
    <x v="0"/>
  </r>
  <r>
    <s v="STU1332"/>
    <x v="3"/>
    <x v="1"/>
    <n v="22"/>
    <x v="2"/>
    <x v="2"/>
    <n v="83"/>
    <n v="51"/>
    <n v="59"/>
    <n v="76.709999999999994"/>
    <s v="C"/>
    <n v="64.333333333333329"/>
    <x v="0"/>
    <x v="0"/>
  </r>
  <r>
    <s v="STU1333"/>
    <x v="12"/>
    <x v="0"/>
    <n v="21"/>
    <x v="2"/>
    <x v="4"/>
    <n v="43"/>
    <n v="89"/>
    <n v="48"/>
    <n v="66.680000000000007"/>
    <s v="C"/>
    <n v="60"/>
    <x v="0"/>
    <x v="0"/>
  </r>
  <r>
    <s v="STU1334"/>
    <x v="140"/>
    <x v="0"/>
    <n v="22"/>
    <x v="4"/>
    <x v="1"/>
    <n v="94"/>
    <n v="61"/>
    <n v="55"/>
    <n v="81.319999999999993"/>
    <s v="B"/>
    <n v="70"/>
    <x v="0"/>
    <x v="0"/>
  </r>
  <r>
    <s v="STU1335"/>
    <x v="2"/>
    <x v="1"/>
    <n v="22"/>
    <x v="4"/>
    <x v="2"/>
    <n v="54"/>
    <n v="43"/>
    <n v="72"/>
    <n v="90.26"/>
    <s v="D"/>
    <n v="56.333333333333336"/>
    <x v="0"/>
    <x v="2"/>
  </r>
  <r>
    <s v="STU1336"/>
    <x v="146"/>
    <x v="1"/>
    <n v="23"/>
    <x v="0"/>
    <x v="0"/>
    <n v="49"/>
    <n v="47"/>
    <n v="58"/>
    <n v="87.24"/>
    <s v="D"/>
    <n v="51.333333333333336"/>
    <x v="0"/>
    <x v="2"/>
  </r>
  <r>
    <s v="STU1337"/>
    <x v="78"/>
    <x v="0"/>
    <n v="20"/>
    <x v="1"/>
    <x v="2"/>
    <n v="71"/>
    <n v="49"/>
    <n v="76"/>
    <n v="74.290000000000006"/>
    <s v="C"/>
    <n v="65.333333333333329"/>
    <x v="0"/>
    <x v="0"/>
  </r>
  <r>
    <s v="STU1338"/>
    <x v="20"/>
    <x v="1"/>
    <n v="19"/>
    <x v="3"/>
    <x v="1"/>
    <n v="61"/>
    <n v="45"/>
    <n v="85"/>
    <n v="89.01"/>
    <s v="C"/>
    <n v="63.666666666666664"/>
    <x v="0"/>
    <x v="0"/>
  </r>
  <r>
    <s v="STU1339"/>
    <x v="24"/>
    <x v="1"/>
    <n v="18"/>
    <x v="2"/>
    <x v="2"/>
    <n v="97"/>
    <n v="98"/>
    <n v="61"/>
    <n v="61.6"/>
    <s v="A"/>
    <n v="85.333333333333329"/>
    <x v="0"/>
    <x v="0"/>
  </r>
  <r>
    <s v="STU1340"/>
    <x v="121"/>
    <x v="0"/>
    <n v="19"/>
    <x v="1"/>
    <x v="4"/>
    <n v="84"/>
    <n v="99"/>
    <n v="66"/>
    <n v="85.66"/>
    <s v="A"/>
    <n v="83"/>
    <x v="0"/>
    <x v="0"/>
  </r>
  <r>
    <s v="STU1341"/>
    <x v="130"/>
    <x v="1"/>
    <n v="23"/>
    <x v="4"/>
    <x v="0"/>
    <n v="49"/>
    <n v="35"/>
    <n v="58"/>
    <n v="61.57"/>
    <s v="F"/>
    <n v="47.333333333333336"/>
    <x v="1"/>
    <x v="1"/>
  </r>
  <r>
    <s v="STU1342"/>
    <x v="64"/>
    <x v="1"/>
    <n v="22"/>
    <x v="0"/>
    <x v="5"/>
    <n v="52"/>
    <n v="90"/>
    <n v="39"/>
    <n v="96.03"/>
    <s v="C"/>
    <n v="60.333333333333336"/>
    <x v="1"/>
    <x v="1"/>
  </r>
  <r>
    <s v="STU1343"/>
    <x v="16"/>
    <x v="1"/>
    <n v="20"/>
    <x v="0"/>
    <x v="3"/>
    <n v="88"/>
    <n v="87"/>
    <n v="96"/>
    <n v="78.78"/>
    <s v="A+"/>
    <n v="90.333333333333329"/>
    <x v="0"/>
    <x v="0"/>
  </r>
  <r>
    <s v="STU1344"/>
    <x v="5"/>
    <x v="0"/>
    <n v="21"/>
    <x v="2"/>
    <x v="2"/>
    <n v="52"/>
    <n v="48"/>
    <n v="91"/>
    <n v="84.34"/>
    <s v="C"/>
    <n v="63.666666666666664"/>
    <x v="0"/>
    <x v="0"/>
  </r>
  <r>
    <s v="STU1345"/>
    <x v="70"/>
    <x v="1"/>
    <n v="21"/>
    <x v="1"/>
    <x v="5"/>
    <n v="74"/>
    <n v="53"/>
    <n v="37"/>
    <n v="91.1"/>
    <s v="D"/>
    <n v="54.666666666666664"/>
    <x v="1"/>
    <x v="1"/>
  </r>
  <r>
    <s v="STU1346"/>
    <x v="114"/>
    <x v="0"/>
    <n v="20"/>
    <x v="0"/>
    <x v="4"/>
    <n v="40"/>
    <n v="62"/>
    <n v="51"/>
    <n v="75.84"/>
    <s v="D"/>
    <n v="51"/>
    <x v="0"/>
    <x v="2"/>
  </r>
  <r>
    <s v="STU1347"/>
    <x v="83"/>
    <x v="0"/>
    <n v="19"/>
    <x v="2"/>
    <x v="0"/>
    <n v="100"/>
    <n v="42"/>
    <n v="58"/>
    <n v="80.569999999999993"/>
    <s v="C"/>
    <n v="66.666666666666671"/>
    <x v="0"/>
    <x v="0"/>
  </r>
  <r>
    <s v="STU1348"/>
    <x v="116"/>
    <x v="1"/>
    <n v="19"/>
    <x v="4"/>
    <x v="3"/>
    <n v="100"/>
    <n v="61"/>
    <n v="56"/>
    <n v="63.91"/>
    <s v="B"/>
    <n v="72.333333333333329"/>
    <x v="0"/>
    <x v="0"/>
  </r>
  <r>
    <s v="STU1349"/>
    <x v="114"/>
    <x v="1"/>
    <n v="18"/>
    <x v="2"/>
    <x v="4"/>
    <n v="51"/>
    <n v="65"/>
    <n v="62"/>
    <n v="81.319999999999993"/>
    <s v="D"/>
    <n v="59.333333333333336"/>
    <x v="0"/>
    <x v="2"/>
  </r>
  <r>
    <s v="STU1350"/>
    <x v="163"/>
    <x v="1"/>
    <n v="23"/>
    <x v="1"/>
    <x v="2"/>
    <n v="49"/>
    <n v="56"/>
    <n v="38"/>
    <n v="61.52"/>
    <s v="F"/>
    <n v="47.666666666666664"/>
    <x v="1"/>
    <x v="1"/>
  </r>
  <r>
    <s v="STU1351"/>
    <x v="164"/>
    <x v="0"/>
    <n v="21"/>
    <x v="2"/>
    <x v="4"/>
    <n v="45"/>
    <n v="80"/>
    <n v="43"/>
    <n v="81.239999999999995"/>
    <s v="D"/>
    <n v="56"/>
    <x v="0"/>
    <x v="2"/>
  </r>
  <r>
    <s v="STU1352"/>
    <x v="131"/>
    <x v="1"/>
    <n v="20"/>
    <x v="4"/>
    <x v="4"/>
    <n v="76"/>
    <n v="72"/>
    <n v="77"/>
    <n v="76.56"/>
    <s v="B"/>
    <n v="75"/>
    <x v="0"/>
    <x v="0"/>
  </r>
  <r>
    <s v="STU1353"/>
    <x v="39"/>
    <x v="1"/>
    <n v="21"/>
    <x v="3"/>
    <x v="1"/>
    <n v="48"/>
    <n v="84"/>
    <n v="95"/>
    <n v="65.53"/>
    <s v="B"/>
    <n v="75.666666666666671"/>
    <x v="0"/>
    <x v="0"/>
  </r>
  <r>
    <s v="STU1354"/>
    <x v="108"/>
    <x v="0"/>
    <n v="18"/>
    <x v="1"/>
    <x v="2"/>
    <n v="51"/>
    <n v="74"/>
    <n v="94"/>
    <n v="80.2"/>
    <s v="B"/>
    <n v="73"/>
    <x v="0"/>
    <x v="0"/>
  </r>
  <r>
    <s v="STU1355"/>
    <x v="17"/>
    <x v="0"/>
    <n v="22"/>
    <x v="2"/>
    <x v="0"/>
    <n v="77"/>
    <n v="74"/>
    <n v="93"/>
    <n v="99.55"/>
    <s v="A"/>
    <n v="81.333333333333329"/>
    <x v="0"/>
    <x v="0"/>
  </r>
  <r>
    <s v="STU1356"/>
    <x v="66"/>
    <x v="1"/>
    <n v="23"/>
    <x v="0"/>
    <x v="4"/>
    <n v="43"/>
    <n v="84"/>
    <n v="68"/>
    <n v="87.55"/>
    <s v="C"/>
    <n v="65"/>
    <x v="0"/>
    <x v="0"/>
  </r>
  <r>
    <s v="STU1357"/>
    <x v="149"/>
    <x v="1"/>
    <n v="22"/>
    <x v="2"/>
    <x v="2"/>
    <n v="46"/>
    <n v="87"/>
    <n v="74"/>
    <n v="63.1"/>
    <s v="C"/>
    <n v="69"/>
    <x v="0"/>
    <x v="0"/>
  </r>
  <r>
    <s v="STU1358"/>
    <x v="135"/>
    <x v="1"/>
    <n v="21"/>
    <x v="0"/>
    <x v="5"/>
    <n v="59"/>
    <n v="99"/>
    <n v="35"/>
    <n v="87.73"/>
    <s v="C"/>
    <n v="64.333333333333329"/>
    <x v="1"/>
    <x v="1"/>
  </r>
  <r>
    <s v="STU1359"/>
    <x v="165"/>
    <x v="1"/>
    <n v="19"/>
    <x v="4"/>
    <x v="5"/>
    <n v="50"/>
    <n v="49"/>
    <n v="87"/>
    <n v="70.97"/>
    <s v="C"/>
    <n v="62"/>
    <x v="0"/>
    <x v="0"/>
  </r>
  <r>
    <s v="STU1360"/>
    <x v="19"/>
    <x v="1"/>
    <n v="22"/>
    <x v="2"/>
    <x v="5"/>
    <n v="42"/>
    <n v="74"/>
    <n v="53"/>
    <n v="98.21"/>
    <s v="D"/>
    <n v="56.333333333333336"/>
    <x v="0"/>
    <x v="2"/>
  </r>
  <r>
    <s v="STU1361"/>
    <x v="88"/>
    <x v="0"/>
    <n v="22"/>
    <x v="0"/>
    <x v="0"/>
    <n v="54"/>
    <n v="40"/>
    <n v="87"/>
    <n v="86.41"/>
    <s v="C"/>
    <n v="60.333333333333336"/>
    <x v="0"/>
    <x v="0"/>
  </r>
  <r>
    <s v="STU1362"/>
    <x v="166"/>
    <x v="0"/>
    <n v="23"/>
    <x v="3"/>
    <x v="2"/>
    <n v="48"/>
    <n v="55"/>
    <n v="82"/>
    <n v="75.930000000000007"/>
    <s v="C"/>
    <n v="61.666666666666664"/>
    <x v="0"/>
    <x v="0"/>
  </r>
  <r>
    <s v="STU1363"/>
    <x v="87"/>
    <x v="1"/>
    <n v="20"/>
    <x v="2"/>
    <x v="3"/>
    <n v="77"/>
    <n v="38"/>
    <n v="53"/>
    <n v="70.59"/>
    <s v="D"/>
    <n v="56"/>
    <x v="1"/>
    <x v="1"/>
  </r>
  <r>
    <s v="STU1364"/>
    <x v="22"/>
    <x v="1"/>
    <n v="22"/>
    <x v="3"/>
    <x v="2"/>
    <n v="72"/>
    <n v="96"/>
    <n v="77"/>
    <n v="98.83"/>
    <s v="A"/>
    <n v="81.666666666666671"/>
    <x v="0"/>
    <x v="0"/>
  </r>
  <r>
    <s v="STU1365"/>
    <x v="74"/>
    <x v="0"/>
    <n v="23"/>
    <x v="0"/>
    <x v="4"/>
    <n v="65"/>
    <n v="61"/>
    <n v="74"/>
    <n v="77.61"/>
    <s v="C"/>
    <n v="66.666666666666671"/>
    <x v="0"/>
    <x v="0"/>
  </r>
  <r>
    <s v="STU1366"/>
    <x v="167"/>
    <x v="0"/>
    <n v="22"/>
    <x v="3"/>
    <x v="5"/>
    <n v="71"/>
    <n v="63"/>
    <n v="64"/>
    <n v="72.61"/>
    <s v="C"/>
    <n v="66"/>
    <x v="0"/>
    <x v="0"/>
  </r>
  <r>
    <s v="STU1367"/>
    <x v="107"/>
    <x v="0"/>
    <n v="22"/>
    <x v="4"/>
    <x v="2"/>
    <n v="39"/>
    <n v="99"/>
    <n v="75"/>
    <n v="91.67"/>
    <s v="B"/>
    <n v="71"/>
    <x v="1"/>
    <x v="1"/>
  </r>
  <r>
    <s v="STU1368"/>
    <x v="168"/>
    <x v="1"/>
    <n v="23"/>
    <x v="3"/>
    <x v="2"/>
    <n v="67"/>
    <n v="63"/>
    <n v="97"/>
    <n v="82.69"/>
    <s v="B"/>
    <n v="75.666666666666671"/>
    <x v="0"/>
    <x v="0"/>
  </r>
  <r>
    <s v="STU1369"/>
    <x v="34"/>
    <x v="0"/>
    <n v="19"/>
    <x v="1"/>
    <x v="5"/>
    <n v="68"/>
    <n v="77"/>
    <n v="63"/>
    <n v="91.15"/>
    <s v="C"/>
    <n v="69.333333333333329"/>
    <x v="0"/>
    <x v="0"/>
  </r>
  <r>
    <s v="STU1370"/>
    <x v="22"/>
    <x v="1"/>
    <n v="22"/>
    <x v="0"/>
    <x v="2"/>
    <n v="78"/>
    <n v="70"/>
    <n v="62"/>
    <n v="98.59"/>
    <s v="B"/>
    <n v="70"/>
    <x v="0"/>
    <x v="0"/>
  </r>
  <r>
    <s v="STU1371"/>
    <x v="133"/>
    <x v="0"/>
    <n v="21"/>
    <x v="3"/>
    <x v="0"/>
    <n v="100"/>
    <n v="82"/>
    <n v="81"/>
    <n v="66.41"/>
    <s v="A"/>
    <n v="87.666666666666671"/>
    <x v="0"/>
    <x v="0"/>
  </r>
  <r>
    <s v="STU1372"/>
    <x v="5"/>
    <x v="1"/>
    <n v="22"/>
    <x v="1"/>
    <x v="3"/>
    <n v="82"/>
    <n v="58"/>
    <n v="90"/>
    <n v="91.98"/>
    <s v="B"/>
    <n v="76.666666666666671"/>
    <x v="0"/>
    <x v="0"/>
  </r>
  <r>
    <s v="STU1373"/>
    <x v="118"/>
    <x v="0"/>
    <n v="21"/>
    <x v="2"/>
    <x v="1"/>
    <n v="95"/>
    <n v="62"/>
    <n v="72"/>
    <n v="74.099999999999994"/>
    <s v="B"/>
    <n v="76.333333333333329"/>
    <x v="0"/>
    <x v="0"/>
  </r>
  <r>
    <s v="STU1374"/>
    <x v="169"/>
    <x v="0"/>
    <n v="20"/>
    <x v="1"/>
    <x v="4"/>
    <n v="61"/>
    <n v="40"/>
    <n v="58"/>
    <n v="98.83"/>
    <s v="D"/>
    <n v="53"/>
    <x v="0"/>
    <x v="2"/>
  </r>
  <r>
    <s v="STU1375"/>
    <x v="170"/>
    <x v="1"/>
    <n v="21"/>
    <x v="3"/>
    <x v="2"/>
    <n v="87"/>
    <n v="69"/>
    <n v="38"/>
    <n v="75.78"/>
    <s v="C"/>
    <n v="64.666666666666671"/>
    <x v="1"/>
    <x v="1"/>
  </r>
  <r>
    <s v="STU1376"/>
    <x v="88"/>
    <x v="0"/>
    <n v="20"/>
    <x v="0"/>
    <x v="4"/>
    <n v="59"/>
    <n v="53"/>
    <n v="47"/>
    <n v="80.19"/>
    <s v="D"/>
    <n v="53"/>
    <x v="0"/>
    <x v="2"/>
  </r>
  <r>
    <s v="STU1377"/>
    <x v="3"/>
    <x v="0"/>
    <n v="19"/>
    <x v="2"/>
    <x v="3"/>
    <n v="41"/>
    <n v="96"/>
    <n v="64"/>
    <n v="79.290000000000006"/>
    <s v="C"/>
    <n v="67"/>
    <x v="0"/>
    <x v="0"/>
  </r>
  <r>
    <s v="STU1378"/>
    <x v="50"/>
    <x v="0"/>
    <n v="21"/>
    <x v="0"/>
    <x v="5"/>
    <n v="94"/>
    <n v="36"/>
    <n v="98"/>
    <n v="82.92"/>
    <s v="B"/>
    <n v="76"/>
    <x v="1"/>
    <x v="1"/>
  </r>
  <r>
    <s v="STU1379"/>
    <x v="90"/>
    <x v="0"/>
    <n v="18"/>
    <x v="3"/>
    <x v="4"/>
    <n v="83"/>
    <n v="80"/>
    <n v="91"/>
    <n v="67.430000000000007"/>
    <s v="A"/>
    <n v="84.666666666666671"/>
    <x v="0"/>
    <x v="0"/>
  </r>
  <r>
    <s v="STU1380"/>
    <x v="93"/>
    <x v="1"/>
    <n v="21"/>
    <x v="4"/>
    <x v="2"/>
    <n v="96"/>
    <n v="81"/>
    <n v="71"/>
    <n v="63.12"/>
    <s v="A"/>
    <n v="82.666666666666671"/>
    <x v="0"/>
    <x v="0"/>
  </r>
  <r>
    <s v="STU1381"/>
    <x v="59"/>
    <x v="0"/>
    <n v="21"/>
    <x v="2"/>
    <x v="5"/>
    <n v="86"/>
    <n v="91"/>
    <n v="72"/>
    <n v="60.2"/>
    <s v="A"/>
    <n v="83"/>
    <x v="0"/>
    <x v="0"/>
  </r>
  <r>
    <s v="STU1382"/>
    <x v="25"/>
    <x v="0"/>
    <n v="23"/>
    <x v="0"/>
    <x v="5"/>
    <n v="97"/>
    <n v="36"/>
    <n v="35"/>
    <n v="76.83"/>
    <s v="D"/>
    <n v="56"/>
    <x v="1"/>
    <x v="1"/>
  </r>
  <r>
    <s v="STU1383"/>
    <x v="3"/>
    <x v="1"/>
    <n v="19"/>
    <x v="1"/>
    <x v="0"/>
    <n v="52"/>
    <n v="46"/>
    <n v="97"/>
    <n v="75.36"/>
    <s v="C"/>
    <n v="65"/>
    <x v="0"/>
    <x v="0"/>
  </r>
  <r>
    <s v="STU1384"/>
    <x v="139"/>
    <x v="1"/>
    <n v="22"/>
    <x v="4"/>
    <x v="1"/>
    <n v="65"/>
    <n v="78"/>
    <n v="84"/>
    <n v="84.84"/>
    <s v="B"/>
    <n v="75.666666666666671"/>
    <x v="0"/>
    <x v="0"/>
  </r>
  <r>
    <s v="STU1385"/>
    <x v="81"/>
    <x v="1"/>
    <n v="21"/>
    <x v="1"/>
    <x v="1"/>
    <n v="80"/>
    <n v="55"/>
    <n v="39"/>
    <n v="96.2"/>
    <s v="D"/>
    <n v="58"/>
    <x v="1"/>
    <x v="1"/>
  </r>
  <r>
    <s v="STU1386"/>
    <x v="93"/>
    <x v="0"/>
    <n v="23"/>
    <x v="3"/>
    <x v="3"/>
    <n v="87"/>
    <n v="94"/>
    <n v="93"/>
    <n v="94.8"/>
    <s v="A+"/>
    <n v="91.333333333333329"/>
    <x v="0"/>
    <x v="0"/>
  </r>
  <r>
    <s v="STU1387"/>
    <x v="64"/>
    <x v="0"/>
    <n v="22"/>
    <x v="4"/>
    <x v="3"/>
    <n v="61"/>
    <n v="48"/>
    <n v="76"/>
    <n v="78.790000000000006"/>
    <s v="C"/>
    <n v="61.666666666666664"/>
    <x v="0"/>
    <x v="0"/>
  </r>
  <r>
    <s v="STU1388"/>
    <x v="119"/>
    <x v="1"/>
    <n v="20"/>
    <x v="1"/>
    <x v="1"/>
    <n v="86"/>
    <n v="67"/>
    <n v="64"/>
    <n v="60.58"/>
    <s v="B"/>
    <n v="72.333333333333329"/>
    <x v="0"/>
    <x v="0"/>
  </r>
  <r>
    <s v="STU1389"/>
    <x v="26"/>
    <x v="1"/>
    <n v="20"/>
    <x v="1"/>
    <x v="5"/>
    <n v="49"/>
    <n v="43"/>
    <n v="42"/>
    <n v="88.71"/>
    <s v="F"/>
    <n v="44.666666666666664"/>
    <x v="0"/>
    <x v="2"/>
  </r>
  <r>
    <s v="STU1390"/>
    <x v="105"/>
    <x v="0"/>
    <n v="21"/>
    <x v="4"/>
    <x v="1"/>
    <n v="70"/>
    <n v="57"/>
    <n v="81"/>
    <n v="71.14"/>
    <s v="C"/>
    <n v="69.333333333333329"/>
    <x v="0"/>
    <x v="0"/>
  </r>
  <r>
    <s v="STU1391"/>
    <x v="0"/>
    <x v="0"/>
    <n v="19"/>
    <x v="3"/>
    <x v="3"/>
    <n v="61"/>
    <n v="50"/>
    <n v="52"/>
    <n v="90.23"/>
    <s v="D"/>
    <n v="54.333333333333336"/>
    <x v="0"/>
    <x v="2"/>
  </r>
  <r>
    <s v="STU1392"/>
    <x v="48"/>
    <x v="1"/>
    <n v="20"/>
    <x v="0"/>
    <x v="4"/>
    <n v="58"/>
    <n v="56"/>
    <n v="50"/>
    <n v="89.11"/>
    <s v="D"/>
    <n v="54.666666666666664"/>
    <x v="0"/>
    <x v="2"/>
  </r>
  <r>
    <s v="STU1393"/>
    <x v="137"/>
    <x v="0"/>
    <n v="18"/>
    <x v="2"/>
    <x v="1"/>
    <n v="85"/>
    <n v="52"/>
    <n v="71"/>
    <n v="68.67"/>
    <s v="C"/>
    <n v="69.333333333333329"/>
    <x v="0"/>
    <x v="0"/>
  </r>
  <r>
    <s v="STU1394"/>
    <x v="79"/>
    <x v="1"/>
    <n v="19"/>
    <x v="1"/>
    <x v="1"/>
    <n v="36"/>
    <n v="56"/>
    <n v="93"/>
    <n v="64.55"/>
    <s v="C"/>
    <n v="61.666666666666664"/>
    <x v="1"/>
    <x v="1"/>
  </r>
  <r>
    <s v="STU1395"/>
    <x v="78"/>
    <x v="0"/>
    <n v="21"/>
    <x v="4"/>
    <x v="3"/>
    <n v="44"/>
    <n v="63"/>
    <n v="61"/>
    <n v="70.7"/>
    <s v="D"/>
    <n v="56"/>
    <x v="0"/>
    <x v="2"/>
  </r>
  <r>
    <s v="STU1396"/>
    <x v="146"/>
    <x v="1"/>
    <n v="22"/>
    <x v="1"/>
    <x v="0"/>
    <n v="41"/>
    <n v="82"/>
    <n v="74"/>
    <n v="60.74"/>
    <s v="C"/>
    <n v="65.666666666666671"/>
    <x v="0"/>
    <x v="0"/>
  </r>
  <r>
    <s v="STU1397"/>
    <x v="102"/>
    <x v="0"/>
    <n v="21"/>
    <x v="2"/>
    <x v="0"/>
    <n v="65"/>
    <n v="45"/>
    <n v="72"/>
    <n v="79.89"/>
    <s v="C"/>
    <n v="60.666666666666664"/>
    <x v="0"/>
    <x v="0"/>
  </r>
  <r>
    <s v="STU1398"/>
    <x v="114"/>
    <x v="1"/>
    <n v="20"/>
    <x v="2"/>
    <x v="5"/>
    <n v="43"/>
    <n v="77"/>
    <n v="45"/>
    <n v="82.43"/>
    <s v="D"/>
    <n v="55"/>
    <x v="0"/>
    <x v="2"/>
  </r>
  <r>
    <s v="STU1399"/>
    <x v="171"/>
    <x v="1"/>
    <n v="20"/>
    <x v="1"/>
    <x v="5"/>
    <n v="56"/>
    <n v="42"/>
    <n v="37"/>
    <n v="82.09"/>
    <s v="F"/>
    <n v="45"/>
    <x v="1"/>
    <x v="1"/>
  </r>
  <r>
    <s v="STU1400"/>
    <x v="100"/>
    <x v="0"/>
    <n v="19"/>
    <x v="0"/>
    <x v="3"/>
    <n v="40"/>
    <n v="65"/>
    <n v="56"/>
    <n v="81.81"/>
    <s v="D"/>
    <n v="53.666666666666664"/>
    <x v="0"/>
    <x v="2"/>
  </r>
  <r>
    <s v="STU1401"/>
    <x v="172"/>
    <x v="1"/>
    <n v="18"/>
    <x v="2"/>
    <x v="5"/>
    <n v="61"/>
    <n v="53"/>
    <n v="53"/>
    <n v="85.27"/>
    <s v="D"/>
    <n v="55.666666666666664"/>
    <x v="0"/>
    <x v="2"/>
  </r>
  <r>
    <s v="STU1402"/>
    <x v="156"/>
    <x v="0"/>
    <n v="23"/>
    <x v="0"/>
    <x v="3"/>
    <n v="57"/>
    <n v="82"/>
    <n v="82"/>
    <n v="64.92"/>
    <s v="B"/>
    <n v="73.666666666666671"/>
    <x v="0"/>
    <x v="0"/>
  </r>
  <r>
    <s v="STU1403"/>
    <x v="82"/>
    <x v="1"/>
    <n v="20"/>
    <x v="4"/>
    <x v="1"/>
    <n v="94"/>
    <n v="55"/>
    <n v="96"/>
    <n v="72.3"/>
    <s v="A"/>
    <n v="81.666666666666671"/>
    <x v="0"/>
    <x v="0"/>
  </r>
  <r>
    <s v="STU1404"/>
    <x v="173"/>
    <x v="0"/>
    <n v="23"/>
    <x v="1"/>
    <x v="3"/>
    <n v="53"/>
    <n v="95"/>
    <n v="63"/>
    <n v="74.42"/>
    <s v="B"/>
    <n v="70.333333333333329"/>
    <x v="0"/>
    <x v="0"/>
  </r>
  <r>
    <s v="STU1405"/>
    <x v="21"/>
    <x v="1"/>
    <n v="22"/>
    <x v="4"/>
    <x v="0"/>
    <n v="81"/>
    <n v="57"/>
    <n v="83"/>
    <n v="96.72"/>
    <s v="B"/>
    <n v="73.666666666666671"/>
    <x v="0"/>
    <x v="0"/>
  </r>
  <r>
    <s v="STU1406"/>
    <x v="174"/>
    <x v="0"/>
    <n v="19"/>
    <x v="0"/>
    <x v="0"/>
    <n v="68"/>
    <n v="41"/>
    <n v="63"/>
    <n v="88.42"/>
    <s v="D"/>
    <n v="57.333333333333336"/>
    <x v="0"/>
    <x v="2"/>
  </r>
  <r>
    <s v="STU1407"/>
    <x v="126"/>
    <x v="1"/>
    <n v="23"/>
    <x v="2"/>
    <x v="4"/>
    <n v="55"/>
    <n v="55"/>
    <n v="82"/>
    <n v="87.79"/>
    <s v="C"/>
    <n v="64"/>
    <x v="0"/>
    <x v="0"/>
  </r>
  <r>
    <s v="STU1408"/>
    <x v="2"/>
    <x v="1"/>
    <n v="19"/>
    <x v="0"/>
    <x v="3"/>
    <n v="76"/>
    <n v="78"/>
    <n v="84"/>
    <n v="98.57"/>
    <s v="B"/>
    <n v="79.333333333333329"/>
    <x v="0"/>
    <x v="0"/>
  </r>
  <r>
    <s v="STU1409"/>
    <x v="119"/>
    <x v="0"/>
    <n v="20"/>
    <x v="2"/>
    <x v="3"/>
    <n v="97"/>
    <n v="56"/>
    <n v="45"/>
    <n v="66.239999999999995"/>
    <s v="C"/>
    <n v="66"/>
    <x v="0"/>
    <x v="0"/>
  </r>
  <r>
    <s v="STU1410"/>
    <x v="54"/>
    <x v="1"/>
    <n v="18"/>
    <x v="0"/>
    <x v="1"/>
    <n v="68"/>
    <n v="93"/>
    <n v="62"/>
    <n v="78.22"/>
    <s v="B"/>
    <n v="74.333333333333329"/>
    <x v="0"/>
    <x v="0"/>
  </r>
  <r>
    <s v="STU1411"/>
    <x v="175"/>
    <x v="1"/>
    <n v="23"/>
    <x v="3"/>
    <x v="5"/>
    <n v="78"/>
    <n v="43"/>
    <n v="95"/>
    <n v="68.319999999999993"/>
    <s v="B"/>
    <n v="72"/>
    <x v="0"/>
    <x v="0"/>
  </r>
  <r>
    <s v="STU1412"/>
    <x v="114"/>
    <x v="1"/>
    <n v="20"/>
    <x v="2"/>
    <x v="2"/>
    <n v="88"/>
    <n v="36"/>
    <n v="95"/>
    <n v="76.489999999999995"/>
    <s v="B"/>
    <n v="73"/>
    <x v="1"/>
    <x v="1"/>
  </r>
  <r>
    <s v="STU1413"/>
    <x v="133"/>
    <x v="0"/>
    <n v="21"/>
    <x v="1"/>
    <x v="3"/>
    <n v="63"/>
    <n v="65"/>
    <n v="98"/>
    <n v="63.72"/>
    <s v="B"/>
    <n v="75.333333333333329"/>
    <x v="0"/>
    <x v="0"/>
  </r>
  <r>
    <s v="STU1414"/>
    <x v="174"/>
    <x v="0"/>
    <n v="22"/>
    <x v="4"/>
    <x v="1"/>
    <n v="67"/>
    <n v="83"/>
    <n v="35"/>
    <n v="73.12"/>
    <s v="C"/>
    <n v="61.666666666666664"/>
    <x v="1"/>
    <x v="1"/>
  </r>
  <r>
    <s v="STU1415"/>
    <x v="106"/>
    <x v="1"/>
    <n v="18"/>
    <x v="4"/>
    <x v="1"/>
    <n v="93"/>
    <n v="46"/>
    <n v="77"/>
    <n v="68.739999999999995"/>
    <s v="B"/>
    <n v="72"/>
    <x v="0"/>
    <x v="0"/>
  </r>
  <r>
    <s v="STU1416"/>
    <x v="36"/>
    <x v="1"/>
    <n v="18"/>
    <x v="3"/>
    <x v="1"/>
    <n v="53"/>
    <n v="48"/>
    <n v="83"/>
    <n v="98.78"/>
    <s v="C"/>
    <n v="61.333333333333336"/>
    <x v="0"/>
    <x v="0"/>
  </r>
  <r>
    <s v="STU1417"/>
    <x v="9"/>
    <x v="0"/>
    <n v="23"/>
    <x v="2"/>
    <x v="1"/>
    <n v="35"/>
    <n v="90"/>
    <n v="54"/>
    <n v="60.69"/>
    <s v="D"/>
    <n v="59.666666666666664"/>
    <x v="1"/>
    <x v="1"/>
  </r>
  <r>
    <s v="STU1418"/>
    <x v="44"/>
    <x v="0"/>
    <n v="20"/>
    <x v="1"/>
    <x v="4"/>
    <n v="70"/>
    <n v="96"/>
    <n v="65"/>
    <n v="64.41"/>
    <s v="B"/>
    <n v="77"/>
    <x v="0"/>
    <x v="0"/>
  </r>
  <r>
    <s v="STU1419"/>
    <x v="157"/>
    <x v="1"/>
    <n v="23"/>
    <x v="4"/>
    <x v="1"/>
    <n v="81"/>
    <n v="54"/>
    <n v="47"/>
    <n v="76.099999999999994"/>
    <s v="C"/>
    <n v="60.666666666666664"/>
    <x v="0"/>
    <x v="0"/>
  </r>
  <r>
    <s v="STU1420"/>
    <x v="105"/>
    <x v="1"/>
    <n v="19"/>
    <x v="4"/>
    <x v="4"/>
    <n v="93"/>
    <n v="50"/>
    <n v="93"/>
    <n v="92.51"/>
    <s v="B"/>
    <n v="78.666666666666671"/>
    <x v="0"/>
    <x v="0"/>
  </r>
  <r>
    <s v="STU1421"/>
    <x v="176"/>
    <x v="0"/>
    <n v="22"/>
    <x v="2"/>
    <x v="0"/>
    <n v="37"/>
    <n v="73"/>
    <n v="88"/>
    <n v="82"/>
    <s v="C"/>
    <n v="66"/>
    <x v="1"/>
    <x v="1"/>
  </r>
  <r>
    <s v="STU1422"/>
    <x v="66"/>
    <x v="1"/>
    <n v="18"/>
    <x v="2"/>
    <x v="4"/>
    <n v="70"/>
    <n v="99"/>
    <n v="94"/>
    <n v="68.36"/>
    <s v="A"/>
    <n v="87.666666666666671"/>
    <x v="0"/>
    <x v="0"/>
  </r>
  <r>
    <s v="STU1423"/>
    <x v="177"/>
    <x v="1"/>
    <n v="19"/>
    <x v="3"/>
    <x v="0"/>
    <n v="87"/>
    <n v="99"/>
    <n v="58"/>
    <n v="67.69"/>
    <s v="A"/>
    <n v="81.333333333333329"/>
    <x v="0"/>
    <x v="0"/>
  </r>
  <r>
    <s v="STU1424"/>
    <x v="178"/>
    <x v="1"/>
    <n v="18"/>
    <x v="3"/>
    <x v="0"/>
    <n v="67"/>
    <n v="79"/>
    <n v="96"/>
    <n v="99.71"/>
    <s v="A"/>
    <n v="80.666666666666671"/>
    <x v="0"/>
    <x v="0"/>
  </r>
  <r>
    <s v="STU1425"/>
    <x v="92"/>
    <x v="1"/>
    <n v="20"/>
    <x v="1"/>
    <x v="3"/>
    <n v="50"/>
    <n v="47"/>
    <n v="45"/>
    <n v="96.58"/>
    <s v="F"/>
    <n v="47.333333333333336"/>
    <x v="0"/>
    <x v="2"/>
  </r>
  <r>
    <s v="STU1426"/>
    <x v="74"/>
    <x v="0"/>
    <n v="22"/>
    <x v="4"/>
    <x v="1"/>
    <n v="81"/>
    <n v="39"/>
    <n v="84"/>
    <n v="75.61"/>
    <s v="C"/>
    <n v="68"/>
    <x v="1"/>
    <x v="1"/>
  </r>
  <r>
    <s v="STU1427"/>
    <x v="96"/>
    <x v="1"/>
    <n v="22"/>
    <x v="1"/>
    <x v="0"/>
    <n v="79"/>
    <n v="72"/>
    <n v="78"/>
    <n v="64.95"/>
    <s v="B"/>
    <n v="76.333333333333329"/>
    <x v="0"/>
    <x v="0"/>
  </r>
  <r>
    <s v="STU1428"/>
    <x v="139"/>
    <x v="1"/>
    <n v="18"/>
    <x v="2"/>
    <x v="0"/>
    <n v="74"/>
    <n v="55"/>
    <n v="73"/>
    <n v="70.930000000000007"/>
    <s v="C"/>
    <n v="67.333333333333329"/>
    <x v="0"/>
    <x v="0"/>
  </r>
  <r>
    <s v="STU1429"/>
    <x v="109"/>
    <x v="0"/>
    <n v="18"/>
    <x v="3"/>
    <x v="0"/>
    <n v="45"/>
    <n v="41"/>
    <n v="41"/>
    <n v="84.02"/>
    <s v="F"/>
    <n v="42.333333333333336"/>
    <x v="0"/>
    <x v="2"/>
  </r>
  <r>
    <s v="STU1430"/>
    <x v="17"/>
    <x v="1"/>
    <n v="22"/>
    <x v="3"/>
    <x v="0"/>
    <n v="68"/>
    <n v="93"/>
    <n v="58"/>
    <n v="60.34"/>
    <s v="B"/>
    <n v="73"/>
    <x v="0"/>
    <x v="0"/>
  </r>
  <r>
    <s v="STU1431"/>
    <x v="179"/>
    <x v="1"/>
    <n v="18"/>
    <x v="2"/>
    <x v="0"/>
    <n v="54"/>
    <n v="59"/>
    <n v="81"/>
    <n v="72.13"/>
    <s v="C"/>
    <n v="64.666666666666671"/>
    <x v="0"/>
    <x v="0"/>
  </r>
  <r>
    <s v="STU1432"/>
    <x v="164"/>
    <x v="1"/>
    <n v="20"/>
    <x v="2"/>
    <x v="0"/>
    <n v="37"/>
    <n v="39"/>
    <n v="57"/>
    <n v="74.61"/>
    <s v="F"/>
    <n v="44.333333333333336"/>
    <x v="1"/>
    <x v="1"/>
  </r>
  <r>
    <s v="STU1433"/>
    <x v="108"/>
    <x v="0"/>
    <n v="23"/>
    <x v="3"/>
    <x v="0"/>
    <n v="58"/>
    <n v="98"/>
    <n v="44"/>
    <n v="75.099999999999994"/>
    <s v="C"/>
    <n v="66.666666666666671"/>
    <x v="0"/>
    <x v="0"/>
  </r>
  <r>
    <s v="STU1434"/>
    <x v="84"/>
    <x v="0"/>
    <n v="22"/>
    <x v="4"/>
    <x v="5"/>
    <n v="76"/>
    <n v="55"/>
    <n v="62"/>
    <n v="69.02"/>
    <s v="C"/>
    <n v="64.333333333333329"/>
    <x v="0"/>
    <x v="0"/>
  </r>
  <r>
    <s v="STU1435"/>
    <x v="91"/>
    <x v="0"/>
    <n v="22"/>
    <x v="0"/>
    <x v="0"/>
    <n v="67"/>
    <n v="46"/>
    <n v="84"/>
    <n v="82.11"/>
    <s v="C"/>
    <n v="65.666666666666671"/>
    <x v="0"/>
    <x v="0"/>
  </r>
  <r>
    <s v="STU1436"/>
    <x v="180"/>
    <x v="1"/>
    <n v="20"/>
    <x v="2"/>
    <x v="1"/>
    <n v="91"/>
    <n v="68"/>
    <n v="67"/>
    <n v="91.87"/>
    <s v="B"/>
    <n v="75.333333333333329"/>
    <x v="0"/>
    <x v="0"/>
  </r>
  <r>
    <s v="STU1437"/>
    <x v="85"/>
    <x v="0"/>
    <n v="23"/>
    <x v="4"/>
    <x v="1"/>
    <n v="84"/>
    <n v="52"/>
    <n v="52"/>
    <n v="87.84"/>
    <s v="C"/>
    <n v="62.666666666666664"/>
    <x v="0"/>
    <x v="0"/>
  </r>
  <r>
    <s v="STU1438"/>
    <x v="17"/>
    <x v="0"/>
    <n v="20"/>
    <x v="1"/>
    <x v="4"/>
    <n v="95"/>
    <n v="87"/>
    <n v="86"/>
    <n v="97.23"/>
    <s v="A"/>
    <n v="89.333333333333329"/>
    <x v="0"/>
    <x v="0"/>
  </r>
  <r>
    <s v="STU1439"/>
    <x v="0"/>
    <x v="0"/>
    <n v="18"/>
    <x v="2"/>
    <x v="4"/>
    <n v="85"/>
    <n v="99"/>
    <n v="56"/>
    <n v="74.47"/>
    <s v="A"/>
    <n v="80"/>
    <x v="0"/>
    <x v="0"/>
  </r>
  <r>
    <s v="STU1440"/>
    <x v="119"/>
    <x v="0"/>
    <n v="21"/>
    <x v="2"/>
    <x v="4"/>
    <n v="70"/>
    <n v="93"/>
    <n v="45"/>
    <n v="70.11"/>
    <s v="C"/>
    <n v="69.333333333333329"/>
    <x v="0"/>
    <x v="0"/>
  </r>
  <r>
    <s v="STU1441"/>
    <x v="122"/>
    <x v="1"/>
    <n v="20"/>
    <x v="2"/>
    <x v="3"/>
    <n v="79"/>
    <n v="83"/>
    <n v="64"/>
    <n v="70.37"/>
    <s v="B"/>
    <n v="75.333333333333329"/>
    <x v="0"/>
    <x v="0"/>
  </r>
  <r>
    <s v="STU1442"/>
    <x v="57"/>
    <x v="1"/>
    <n v="18"/>
    <x v="0"/>
    <x v="4"/>
    <n v="79"/>
    <n v="39"/>
    <n v="50"/>
    <n v="78.98"/>
    <s v="D"/>
    <n v="56"/>
    <x v="1"/>
    <x v="1"/>
  </r>
  <r>
    <s v="STU1443"/>
    <x v="177"/>
    <x v="0"/>
    <n v="22"/>
    <x v="1"/>
    <x v="5"/>
    <n v="47"/>
    <n v="62"/>
    <n v="96"/>
    <n v="61.72"/>
    <s v="C"/>
    <n v="68.333333333333329"/>
    <x v="0"/>
    <x v="0"/>
  </r>
  <r>
    <s v="STU1444"/>
    <x v="168"/>
    <x v="1"/>
    <n v="18"/>
    <x v="4"/>
    <x v="1"/>
    <n v="80"/>
    <n v="38"/>
    <n v="47"/>
    <n v="85.52"/>
    <s v="D"/>
    <n v="55"/>
    <x v="1"/>
    <x v="1"/>
  </r>
  <r>
    <s v="STU1445"/>
    <x v="81"/>
    <x v="1"/>
    <n v="18"/>
    <x v="1"/>
    <x v="5"/>
    <n v="70"/>
    <n v="51"/>
    <n v="46"/>
    <n v="72.900000000000006"/>
    <s v="D"/>
    <n v="55.666666666666664"/>
    <x v="0"/>
    <x v="2"/>
  </r>
  <r>
    <s v="STU1446"/>
    <x v="43"/>
    <x v="0"/>
    <n v="18"/>
    <x v="2"/>
    <x v="2"/>
    <n v="71"/>
    <n v="87"/>
    <n v="82"/>
    <n v="72.39"/>
    <s v="A"/>
    <n v="80"/>
    <x v="0"/>
    <x v="0"/>
  </r>
  <r>
    <s v="STU1447"/>
    <x v="148"/>
    <x v="1"/>
    <n v="18"/>
    <x v="1"/>
    <x v="5"/>
    <n v="80"/>
    <n v="60"/>
    <n v="44"/>
    <n v="83.66"/>
    <s v="C"/>
    <n v="61.333333333333336"/>
    <x v="0"/>
    <x v="0"/>
  </r>
  <r>
    <s v="STU1448"/>
    <x v="90"/>
    <x v="0"/>
    <n v="19"/>
    <x v="4"/>
    <x v="3"/>
    <n v="84"/>
    <n v="90"/>
    <n v="94"/>
    <n v="74.72"/>
    <s v="A"/>
    <n v="89.333333333333329"/>
    <x v="0"/>
    <x v="0"/>
  </r>
  <r>
    <s v="STU1449"/>
    <x v="158"/>
    <x v="0"/>
    <n v="23"/>
    <x v="1"/>
    <x v="1"/>
    <n v="98"/>
    <n v="57"/>
    <n v="58"/>
    <n v="85.47"/>
    <s v="B"/>
    <n v="71"/>
    <x v="0"/>
    <x v="0"/>
  </r>
  <r>
    <s v="STU1450"/>
    <x v="90"/>
    <x v="1"/>
    <n v="23"/>
    <x v="3"/>
    <x v="2"/>
    <n v="41"/>
    <n v="43"/>
    <n v="58"/>
    <n v="70.88"/>
    <s v="F"/>
    <n v="47.333333333333336"/>
    <x v="0"/>
    <x v="2"/>
  </r>
  <r>
    <s v="STU1451"/>
    <x v="3"/>
    <x v="0"/>
    <n v="20"/>
    <x v="3"/>
    <x v="1"/>
    <n v="44"/>
    <n v="45"/>
    <n v="45"/>
    <n v="64"/>
    <s v="F"/>
    <n v="44.666666666666664"/>
    <x v="0"/>
    <x v="2"/>
  </r>
  <r>
    <s v="STU1452"/>
    <x v="181"/>
    <x v="1"/>
    <n v="20"/>
    <x v="4"/>
    <x v="5"/>
    <n v="76"/>
    <n v="37"/>
    <n v="93"/>
    <n v="91.84"/>
    <s v="C"/>
    <n v="68.666666666666671"/>
    <x v="1"/>
    <x v="1"/>
  </r>
  <r>
    <s v="STU1453"/>
    <x v="64"/>
    <x v="1"/>
    <n v="19"/>
    <x v="3"/>
    <x v="0"/>
    <n v="93"/>
    <n v="59"/>
    <n v="35"/>
    <n v="89.47"/>
    <s v="C"/>
    <n v="62.333333333333336"/>
    <x v="1"/>
    <x v="1"/>
  </r>
  <r>
    <s v="STU1454"/>
    <x v="95"/>
    <x v="0"/>
    <n v="22"/>
    <x v="4"/>
    <x v="1"/>
    <n v="52"/>
    <n v="100"/>
    <n v="40"/>
    <n v="80.790000000000006"/>
    <s v="C"/>
    <n v="64"/>
    <x v="0"/>
    <x v="0"/>
  </r>
  <r>
    <s v="STU1455"/>
    <x v="118"/>
    <x v="1"/>
    <n v="22"/>
    <x v="1"/>
    <x v="3"/>
    <n v="99"/>
    <n v="63"/>
    <n v="84"/>
    <n v="83.64"/>
    <s v="A"/>
    <n v="82"/>
    <x v="0"/>
    <x v="0"/>
  </r>
  <r>
    <s v="STU1456"/>
    <x v="67"/>
    <x v="0"/>
    <n v="20"/>
    <x v="2"/>
    <x v="5"/>
    <n v="61"/>
    <n v="60"/>
    <n v="43"/>
    <n v="94.35"/>
    <s v="D"/>
    <n v="54.666666666666664"/>
    <x v="0"/>
    <x v="2"/>
  </r>
  <r>
    <s v="STU1457"/>
    <x v="153"/>
    <x v="0"/>
    <n v="22"/>
    <x v="0"/>
    <x v="2"/>
    <n v="93"/>
    <n v="50"/>
    <n v="41"/>
    <n v="77.34"/>
    <s v="C"/>
    <n v="61.333333333333336"/>
    <x v="0"/>
    <x v="0"/>
  </r>
  <r>
    <s v="STU1458"/>
    <x v="18"/>
    <x v="1"/>
    <n v="20"/>
    <x v="0"/>
    <x v="2"/>
    <n v="52"/>
    <n v="46"/>
    <n v="67"/>
    <n v="93.88"/>
    <s v="D"/>
    <n v="55"/>
    <x v="0"/>
    <x v="2"/>
  </r>
  <r>
    <s v="STU1459"/>
    <x v="120"/>
    <x v="0"/>
    <n v="23"/>
    <x v="2"/>
    <x v="4"/>
    <n v="59"/>
    <n v="100"/>
    <n v="80"/>
    <n v="94.32"/>
    <s v="B"/>
    <n v="79.666666666666671"/>
    <x v="0"/>
    <x v="0"/>
  </r>
  <r>
    <s v="STU1460"/>
    <x v="175"/>
    <x v="1"/>
    <n v="23"/>
    <x v="1"/>
    <x v="3"/>
    <n v="62"/>
    <n v="42"/>
    <n v="66"/>
    <n v="97.19"/>
    <s v="D"/>
    <n v="56.666666666666664"/>
    <x v="0"/>
    <x v="2"/>
  </r>
  <r>
    <s v="STU1461"/>
    <x v="147"/>
    <x v="1"/>
    <n v="23"/>
    <x v="0"/>
    <x v="4"/>
    <n v="89"/>
    <n v="58"/>
    <n v="71"/>
    <n v="87.64"/>
    <s v="B"/>
    <n v="72.666666666666671"/>
    <x v="0"/>
    <x v="0"/>
  </r>
  <r>
    <s v="STU1462"/>
    <x v="127"/>
    <x v="1"/>
    <n v="18"/>
    <x v="0"/>
    <x v="0"/>
    <n v="92"/>
    <n v="80"/>
    <n v="54"/>
    <n v="92.29"/>
    <s v="B"/>
    <n v="75.333333333333329"/>
    <x v="0"/>
    <x v="0"/>
  </r>
  <r>
    <s v="STU1463"/>
    <x v="182"/>
    <x v="0"/>
    <n v="21"/>
    <x v="2"/>
    <x v="3"/>
    <n v="62"/>
    <n v="64"/>
    <n v="55"/>
    <n v="97.4"/>
    <s v="C"/>
    <n v="60.333333333333336"/>
    <x v="0"/>
    <x v="0"/>
  </r>
  <r>
    <s v="STU1464"/>
    <x v="135"/>
    <x v="0"/>
    <n v="20"/>
    <x v="3"/>
    <x v="1"/>
    <n v="38"/>
    <n v="89"/>
    <n v="59"/>
    <n v="72"/>
    <s v="C"/>
    <n v="62"/>
    <x v="1"/>
    <x v="1"/>
  </r>
  <r>
    <s v="STU1465"/>
    <x v="175"/>
    <x v="1"/>
    <n v="21"/>
    <x v="2"/>
    <x v="1"/>
    <n v="38"/>
    <n v="49"/>
    <n v="91"/>
    <n v="71.790000000000006"/>
    <s v="D"/>
    <n v="59.333333333333336"/>
    <x v="1"/>
    <x v="1"/>
  </r>
  <r>
    <s v="STU1466"/>
    <x v="17"/>
    <x v="1"/>
    <n v="18"/>
    <x v="2"/>
    <x v="3"/>
    <n v="71"/>
    <n v="89"/>
    <n v="35"/>
    <n v="84.48"/>
    <s v="C"/>
    <n v="65"/>
    <x v="1"/>
    <x v="1"/>
  </r>
  <r>
    <s v="STU1467"/>
    <x v="5"/>
    <x v="0"/>
    <n v="23"/>
    <x v="1"/>
    <x v="0"/>
    <n v="64"/>
    <n v="84"/>
    <n v="60"/>
    <n v="68.95"/>
    <s v="C"/>
    <n v="69.333333333333329"/>
    <x v="0"/>
    <x v="0"/>
  </r>
  <r>
    <s v="STU1468"/>
    <x v="103"/>
    <x v="0"/>
    <n v="18"/>
    <x v="3"/>
    <x v="2"/>
    <n v="52"/>
    <n v="77"/>
    <n v="82"/>
    <n v="94.53"/>
    <s v="B"/>
    <n v="70.333333333333329"/>
    <x v="0"/>
    <x v="0"/>
  </r>
  <r>
    <s v="STU1469"/>
    <x v="43"/>
    <x v="1"/>
    <n v="22"/>
    <x v="3"/>
    <x v="3"/>
    <n v="51"/>
    <n v="36"/>
    <n v="86"/>
    <n v="66.95"/>
    <s v="D"/>
    <n v="57.666666666666664"/>
    <x v="1"/>
    <x v="1"/>
  </r>
  <r>
    <s v="STU1470"/>
    <x v="173"/>
    <x v="1"/>
    <n v="18"/>
    <x v="4"/>
    <x v="3"/>
    <n v="79"/>
    <n v="65"/>
    <n v="76"/>
    <n v="82.18"/>
    <s v="B"/>
    <n v="73.333333333333329"/>
    <x v="0"/>
    <x v="0"/>
  </r>
  <r>
    <s v="STU1471"/>
    <x v="167"/>
    <x v="1"/>
    <n v="19"/>
    <x v="2"/>
    <x v="3"/>
    <n v="52"/>
    <n v="35"/>
    <n v="43"/>
    <n v="68.91"/>
    <s v="F"/>
    <n v="43.333333333333336"/>
    <x v="1"/>
    <x v="1"/>
  </r>
  <r>
    <s v="STU1472"/>
    <x v="88"/>
    <x v="0"/>
    <n v="19"/>
    <x v="3"/>
    <x v="0"/>
    <n v="82"/>
    <n v="79"/>
    <n v="70"/>
    <n v="71.7"/>
    <s v="B"/>
    <n v="77"/>
    <x v="0"/>
    <x v="0"/>
  </r>
  <r>
    <s v="STU1473"/>
    <x v="64"/>
    <x v="0"/>
    <n v="21"/>
    <x v="1"/>
    <x v="3"/>
    <n v="65"/>
    <n v="87"/>
    <n v="50"/>
    <n v="90.04"/>
    <s v="C"/>
    <n v="67.333333333333329"/>
    <x v="0"/>
    <x v="0"/>
  </r>
  <r>
    <s v="STU1474"/>
    <x v="138"/>
    <x v="1"/>
    <n v="18"/>
    <x v="0"/>
    <x v="5"/>
    <n v="53"/>
    <n v="80"/>
    <n v="92"/>
    <n v="84.42"/>
    <s v="B"/>
    <n v="75"/>
    <x v="0"/>
    <x v="0"/>
  </r>
  <r>
    <s v="STU1475"/>
    <x v="118"/>
    <x v="1"/>
    <n v="21"/>
    <x v="4"/>
    <x v="0"/>
    <n v="88"/>
    <n v="64"/>
    <n v="93"/>
    <n v="83.84"/>
    <s v="A"/>
    <n v="81.666666666666671"/>
    <x v="0"/>
    <x v="0"/>
  </r>
  <r>
    <s v="STU1476"/>
    <x v="75"/>
    <x v="1"/>
    <n v="21"/>
    <x v="4"/>
    <x v="0"/>
    <n v="40"/>
    <n v="96"/>
    <n v="76"/>
    <n v="71.33"/>
    <s v="B"/>
    <n v="70.666666666666671"/>
    <x v="0"/>
    <x v="0"/>
  </r>
  <r>
    <s v="STU1477"/>
    <x v="31"/>
    <x v="0"/>
    <n v="19"/>
    <x v="3"/>
    <x v="2"/>
    <n v="49"/>
    <n v="58"/>
    <n v="61"/>
    <n v="71.42"/>
    <s v="D"/>
    <n v="56"/>
    <x v="0"/>
    <x v="2"/>
  </r>
  <r>
    <s v="STU1478"/>
    <x v="170"/>
    <x v="1"/>
    <n v="20"/>
    <x v="3"/>
    <x v="3"/>
    <n v="99"/>
    <n v="36"/>
    <n v="100"/>
    <n v="91.11"/>
    <s v="B"/>
    <n v="78.333333333333329"/>
    <x v="1"/>
    <x v="1"/>
  </r>
  <r>
    <s v="STU1479"/>
    <x v="16"/>
    <x v="0"/>
    <n v="20"/>
    <x v="2"/>
    <x v="4"/>
    <n v="49"/>
    <n v="73"/>
    <n v="37"/>
    <n v="73"/>
    <s v="D"/>
    <n v="53"/>
    <x v="1"/>
    <x v="1"/>
  </r>
  <r>
    <s v="STU1480"/>
    <x v="165"/>
    <x v="1"/>
    <n v="20"/>
    <x v="0"/>
    <x v="4"/>
    <n v="44"/>
    <n v="100"/>
    <n v="87"/>
    <n v="85.39"/>
    <s v="B"/>
    <n v="77"/>
    <x v="0"/>
    <x v="0"/>
  </r>
  <r>
    <s v="STU1481"/>
    <x v="179"/>
    <x v="0"/>
    <n v="20"/>
    <x v="0"/>
    <x v="5"/>
    <n v="69"/>
    <n v="98"/>
    <n v="45"/>
    <n v="77.989999999999995"/>
    <s v="B"/>
    <n v="70.666666666666671"/>
    <x v="0"/>
    <x v="0"/>
  </r>
  <r>
    <s v="STU1482"/>
    <x v="93"/>
    <x v="1"/>
    <n v="22"/>
    <x v="4"/>
    <x v="1"/>
    <n v="53"/>
    <n v="71"/>
    <n v="90"/>
    <n v="88.06"/>
    <s v="B"/>
    <n v="71.333333333333329"/>
    <x v="0"/>
    <x v="0"/>
  </r>
  <r>
    <s v="STU1483"/>
    <x v="19"/>
    <x v="0"/>
    <n v="21"/>
    <x v="0"/>
    <x v="0"/>
    <n v="90"/>
    <n v="79"/>
    <n v="52"/>
    <n v="76.45"/>
    <s v="B"/>
    <n v="73.666666666666671"/>
    <x v="0"/>
    <x v="0"/>
  </r>
  <r>
    <s v="STU1484"/>
    <x v="35"/>
    <x v="0"/>
    <n v="18"/>
    <x v="1"/>
    <x v="1"/>
    <n v="68"/>
    <n v="89"/>
    <n v="97"/>
    <n v="85.93"/>
    <s v="A"/>
    <n v="84.666666666666671"/>
    <x v="0"/>
    <x v="0"/>
  </r>
  <r>
    <s v="STU1485"/>
    <x v="183"/>
    <x v="0"/>
    <n v="19"/>
    <x v="3"/>
    <x v="0"/>
    <n v="63"/>
    <n v="76"/>
    <n v="63"/>
    <n v="69.239999999999995"/>
    <s v="C"/>
    <n v="67.333333333333329"/>
    <x v="0"/>
    <x v="0"/>
  </r>
  <r>
    <s v="STU1486"/>
    <x v="110"/>
    <x v="0"/>
    <n v="23"/>
    <x v="3"/>
    <x v="1"/>
    <n v="61"/>
    <n v="47"/>
    <n v="62"/>
    <n v="71.14"/>
    <s v="D"/>
    <n v="56.666666666666664"/>
    <x v="0"/>
    <x v="2"/>
  </r>
  <r>
    <s v="STU1487"/>
    <x v="15"/>
    <x v="1"/>
    <n v="20"/>
    <x v="3"/>
    <x v="5"/>
    <n v="76"/>
    <n v="65"/>
    <n v="85"/>
    <n v="93.52"/>
    <s v="B"/>
    <n v="75.333333333333329"/>
    <x v="0"/>
    <x v="0"/>
  </r>
  <r>
    <s v="STU1488"/>
    <x v="144"/>
    <x v="0"/>
    <n v="19"/>
    <x v="3"/>
    <x v="2"/>
    <n v="36"/>
    <n v="54"/>
    <n v="79"/>
    <n v="81.209999999999994"/>
    <s v="D"/>
    <n v="56.333333333333336"/>
    <x v="1"/>
    <x v="1"/>
  </r>
  <r>
    <s v="STU1489"/>
    <x v="45"/>
    <x v="1"/>
    <n v="22"/>
    <x v="3"/>
    <x v="2"/>
    <n v="96"/>
    <n v="74"/>
    <n v="85"/>
    <n v="86.73"/>
    <s v="A"/>
    <n v="85"/>
    <x v="0"/>
    <x v="0"/>
  </r>
  <r>
    <s v="STU1490"/>
    <x v="23"/>
    <x v="1"/>
    <n v="20"/>
    <x v="1"/>
    <x v="3"/>
    <n v="69"/>
    <n v="54"/>
    <n v="98"/>
    <n v="99.95"/>
    <s v="B"/>
    <n v="73.666666666666671"/>
    <x v="0"/>
    <x v="0"/>
  </r>
  <r>
    <s v="STU1491"/>
    <x v="90"/>
    <x v="0"/>
    <n v="18"/>
    <x v="2"/>
    <x v="0"/>
    <n v="63"/>
    <n v="98"/>
    <n v="44"/>
    <n v="74.37"/>
    <s v="C"/>
    <n v="68.333333333333329"/>
    <x v="0"/>
    <x v="0"/>
  </r>
  <r>
    <s v="STU1492"/>
    <x v="68"/>
    <x v="0"/>
    <n v="18"/>
    <x v="2"/>
    <x v="1"/>
    <n v="37"/>
    <n v="65"/>
    <n v="94"/>
    <n v="87.77"/>
    <s v="C"/>
    <n v="65.333333333333329"/>
    <x v="1"/>
    <x v="1"/>
  </r>
  <r>
    <s v="STU1493"/>
    <x v="83"/>
    <x v="0"/>
    <n v="18"/>
    <x v="1"/>
    <x v="4"/>
    <n v="94"/>
    <n v="87"/>
    <n v="63"/>
    <n v="91.48"/>
    <s v="A"/>
    <n v="81.333333333333329"/>
    <x v="0"/>
    <x v="0"/>
  </r>
  <r>
    <s v="STU1494"/>
    <x v="172"/>
    <x v="0"/>
    <n v="22"/>
    <x v="3"/>
    <x v="0"/>
    <n v="35"/>
    <n v="73"/>
    <n v="42"/>
    <n v="73.69"/>
    <s v="D"/>
    <n v="50"/>
    <x v="1"/>
    <x v="1"/>
  </r>
  <r>
    <s v="STU1495"/>
    <x v="184"/>
    <x v="0"/>
    <n v="20"/>
    <x v="4"/>
    <x v="2"/>
    <n v="95"/>
    <n v="96"/>
    <n v="51"/>
    <n v="71.680000000000007"/>
    <s v="A"/>
    <n v="80.666666666666671"/>
    <x v="0"/>
    <x v="0"/>
  </r>
  <r>
    <s v="STU1496"/>
    <x v="158"/>
    <x v="0"/>
    <n v="23"/>
    <x v="2"/>
    <x v="5"/>
    <n v="55"/>
    <n v="86"/>
    <n v="80"/>
    <n v="87.04"/>
    <s v="B"/>
    <n v="73.666666666666671"/>
    <x v="0"/>
    <x v="0"/>
  </r>
  <r>
    <s v="STU1497"/>
    <x v="10"/>
    <x v="1"/>
    <n v="19"/>
    <x v="0"/>
    <x v="4"/>
    <n v="66"/>
    <n v="71"/>
    <n v="94"/>
    <n v="86.5"/>
    <s v="B"/>
    <n v="77"/>
    <x v="0"/>
    <x v="0"/>
  </r>
  <r>
    <s v="STU1498"/>
    <x v="62"/>
    <x v="0"/>
    <n v="21"/>
    <x v="4"/>
    <x v="1"/>
    <n v="54"/>
    <n v="73"/>
    <n v="83"/>
    <n v="97.59"/>
    <s v="B"/>
    <n v="70"/>
    <x v="0"/>
    <x v="0"/>
  </r>
  <r>
    <s v="STU1499"/>
    <x v="100"/>
    <x v="0"/>
    <n v="21"/>
    <x v="3"/>
    <x v="0"/>
    <n v="35"/>
    <n v="61"/>
    <n v="69"/>
    <n v="71.81"/>
    <s v="D"/>
    <n v="55"/>
    <x v="1"/>
    <x v="1"/>
  </r>
  <r>
    <s v="STU1500"/>
    <x v="91"/>
    <x v="0"/>
    <n v="22"/>
    <x v="3"/>
    <x v="4"/>
    <n v="83"/>
    <n v="57"/>
    <n v="58"/>
    <n v="67.73"/>
    <s v="C"/>
    <n v="66"/>
    <x v="0"/>
    <x v="0"/>
  </r>
  <r>
    <s v="STU1501"/>
    <x v="22"/>
    <x v="0"/>
    <n v="19"/>
    <x v="4"/>
    <x v="3"/>
    <n v="100"/>
    <n v="92"/>
    <n v="36"/>
    <n v="68.58"/>
    <s v="B"/>
    <n v="76"/>
    <x v="1"/>
    <x v="1"/>
  </r>
  <r>
    <s v="STU1502"/>
    <x v="102"/>
    <x v="0"/>
    <n v="19"/>
    <x v="4"/>
    <x v="1"/>
    <n v="58"/>
    <n v="79"/>
    <n v="80"/>
    <n v="83.95"/>
    <s v="B"/>
    <n v="72.333333333333329"/>
    <x v="0"/>
    <x v="0"/>
  </r>
  <r>
    <s v="STU1503"/>
    <x v="53"/>
    <x v="1"/>
    <n v="21"/>
    <x v="2"/>
    <x v="3"/>
    <n v="74"/>
    <n v="89"/>
    <n v="83"/>
    <n v="99.11"/>
    <s v="A"/>
    <n v="82"/>
    <x v="0"/>
    <x v="0"/>
  </r>
  <r>
    <s v="STU1504"/>
    <x v="7"/>
    <x v="1"/>
    <n v="22"/>
    <x v="4"/>
    <x v="5"/>
    <n v="87"/>
    <n v="94"/>
    <n v="37"/>
    <n v="83.59"/>
    <s v="B"/>
    <n v="72.666666666666671"/>
    <x v="1"/>
    <x v="1"/>
  </r>
  <r>
    <s v="STU1505"/>
    <x v="130"/>
    <x v="0"/>
    <n v="19"/>
    <x v="0"/>
    <x v="1"/>
    <n v="74"/>
    <n v="96"/>
    <n v="69"/>
    <n v="82.58"/>
    <s v="B"/>
    <n v="79.666666666666671"/>
    <x v="0"/>
    <x v="0"/>
  </r>
  <r>
    <s v="STU1506"/>
    <x v="185"/>
    <x v="1"/>
    <n v="22"/>
    <x v="3"/>
    <x v="4"/>
    <n v="85"/>
    <n v="91"/>
    <n v="36"/>
    <n v="93.3"/>
    <s v="B"/>
    <n v="70.666666666666671"/>
    <x v="1"/>
    <x v="1"/>
  </r>
  <r>
    <s v="STU1507"/>
    <x v="96"/>
    <x v="0"/>
    <n v="18"/>
    <x v="1"/>
    <x v="5"/>
    <n v="79"/>
    <n v="38"/>
    <n v="44"/>
    <n v="89.74"/>
    <s v="D"/>
    <n v="53.666666666666664"/>
    <x v="1"/>
    <x v="1"/>
  </r>
  <r>
    <s v="STU1508"/>
    <x v="157"/>
    <x v="0"/>
    <n v="21"/>
    <x v="0"/>
    <x v="0"/>
    <n v="75"/>
    <n v="72"/>
    <n v="96"/>
    <n v="79.62"/>
    <s v="A"/>
    <n v="81"/>
    <x v="0"/>
    <x v="0"/>
  </r>
  <r>
    <s v="STU1509"/>
    <x v="185"/>
    <x v="0"/>
    <n v="23"/>
    <x v="4"/>
    <x v="5"/>
    <n v="92"/>
    <n v="64"/>
    <n v="55"/>
    <n v="84.42"/>
    <s v="B"/>
    <n v="70.333333333333329"/>
    <x v="0"/>
    <x v="0"/>
  </r>
  <r>
    <s v="STU1510"/>
    <x v="66"/>
    <x v="0"/>
    <n v="20"/>
    <x v="3"/>
    <x v="1"/>
    <n v="45"/>
    <n v="82"/>
    <n v="92"/>
    <n v="86.65"/>
    <s v="B"/>
    <n v="73"/>
    <x v="0"/>
    <x v="0"/>
  </r>
  <r>
    <s v="STU1511"/>
    <x v="150"/>
    <x v="0"/>
    <n v="18"/>
    <x v="3"/>
    <x v="5"/>
    <n v="87"/>
    <n v="72"/>
    <n v="53"/>
    <n v="65.819999999999993"/>
    <s v="B"/>
    <n v="70.666666666666671"/>
    <x v="0"/>
    <x v="0"/>
  </r>
  <r>
    <s v="STU1512"/>
    <x v="155"/>
    <x v="1"/>
    <n v="20"/>
    <x v="4"/>
    <x v="2"/>
    <n v="58"/>
    <n v="88"/>
    <n v="84"/>
    <n v="82.59"/>
    <s v="B"/>
    <n v="76.666666666666671"/>
    <x v="0"/>
    <x v="0"/>
  </r>
  <r>
    <s v="STU1513"/>
    <x v="129"/>
    <x v="0"/>
    <n v="19"/>
    <x v="1"/>
    <x v="5"/>
    <n v="50"/>
    <n v="60"/>
    <n v="68"/>
    <n v="66.78"/>
    <s v="D"/>
    <n v="59.333333333333336"/>
    <x v="0"/>
    <x v="2"/>
  </r>
  <r>
    <s v="STU1514"/>
    <x v="60"/>
    <x v="0"/>
    <n v="18"/>
    <x v="0"/>
    <x v="2"/>
    <n v="64"/>
    <n v="52"/>
    <n v="44"/>
    <n v="71.959999999999994"/>
    <s v="D"/>
    <n v="53.333333333333336"/>
    <x v="0"/>
    <x v="2"/>
  </r>
  <r>
    <s v="STU1515"/>
    <x v="143"/>
    <x v="1"/>
    <n v="19"/>
    <x v="4"/>
    <x v="0"/>
    <n v="84"/>
    <n v="56"/>
    <n v="58"/>
    <n v="91.78"/>
    <s v="C"/>
    <n v="66"/>
    <x v="0"/>
    <x v="0"/>
  </r>
  <r>
    <s v="STU1516"/>
    <x v="77"/>
    <x v="1"/>
    <n v="21"/>
    <x v="4"/>
    <x v="0"/>
    <n v="75"/>
    <n v="70"/>
    <n v="61"/>
    <n v="96.1"/>
    <s v="C"/>
    <n v="68.666666666666671"/>
    <x v="0"/>
    <x v="0"/>
  </r>
  <r>
    <s v="STU1517"/>
    <x v="50"/>
    <x v="1"/>
    <n v="22"/>
    <x v="2"/>
    <x v="0"/>
    <n v="52"/>
    <n v="87"/>
    <n v="65"/>
    <n v="67.08"/>
    <s v="C"/>
    <n v="68"/>
    <x v="0"/>
    <x v="0"/>
  </r>
  <r>
    <s v="STU1518"/>
    <x v="11"/>
    <x v="1"/>
    <n v="19"/>
    <x v="3"/>
    <x v="1"/>
    <n v="88"/>
    <n v="45"/>
    <n v="36"/>
    <n v="62.81"/>
    <s v="D"/>
    <n v="56.333333333333336"/>
    <x v="1"/>
    <x v="1"/>
  </r>
  <r>
    <s v="STU1519"/>
    <x v="21"/>
    <x v="1"/>
    <n v="19"/>
    <x v="4"/>
    <x v="1"/>
    <n v="87"/>
    <n v="72"/>
    <n v="56"/>
    <n v="94.42"/>
    <s v="B"/>
    <n v="71.666666666666671"/>
    <x v="0"/>
    <x v="0"/>
  </r>
  <r>
    <s v="STU1520"/>
    <x v="74"/>
    <x v="1"/>
    <n v="18"/>
    <x v="1"/>
    <x v="5"/>
    <n v="60"/>
    <n v="100"/>
    <n v="44"/>
    <n v="88.22"/>
    <s v="C"/>
    <n v="68"/>
    <x v="0"/>
    <x v="0"/>
  </r>
  <r>
    <s v="STU1521"/>
    <x v="5"/>
    <x v="0"/>
    <n v="20"/>
    <x v="4"/>
    <x v="1"/>
    <n v="55"/>
    <n v="90"/>
    <n v="87"/>
    <n v="87.75"/>
    <s v="B"/>
    <n v="77.333333333333329"/>
    <x v="0"/>
    <x v="0"/>
  </r>
  <r>
    <s v="STU1522"/>
    <x v="160"/>
    <x v="1"/>
    <n v="19"/>
    <x v="2"/>
    <x v="0"/>
    <n v="57"/>
    <n v="69"/>
    <n v="47"/>
    <n v="81.08"/>
    <s v="D"/>
    <n v="57.666666666666664"/>
    <x v="0"/>
    <x v="2"/>
  </r>
  <r>
    <s v="STU1523"/>
    <x v="100"/>
    <x v="1"/>
    <n v="18"/>
    <x v="1"/>
    <x v="4"/>
    <n v="50"/>
    <n v="92"/>
    <n v="90"/>
    <n v="72.33"/>
    <s v="B"/>
    <n v="77.333333333333329"/>
    <x v="0"/>
    <x v="0"/>
  </r>
  <r>
    <s v="STU1524"/>
    <x v="116"/>
    <x v="1"/>
    <n v="22"/>
    <x v="4"/>
    <x v="2"/>
    <n v="46"/>
    <n v="80"/>
    <n v="93"/>
    <n v="73.61"/>
    <s v="B"/>
    <n v="73"/>
    <x v="0"/>
    <x v="0"/>
  </r>
  <r>
    <s v="STU1525"/>
    <x v="48"/>
    <x v="1"/>
    <n v="22"/>
    <x v="0"/>
    <x v="1"/>
    <n v="59"/>
    <n v="67"/>
    <n v="77"/>
    <n v="90.05"/>
    <s v="C"/>
    <n v="67.666666666666671"/>
    <x v="0"/>
    <x v="0"/>
  </r>
  <r>
    <s v="STU1526"/>
    <x v="44"/>
    <x v="1"/>
    <n v="18"/>
    <x v="2"/>
    <x v="1"/>
    <n v="94"/>
    <n v="73"/>
    <n v="36"/>
    <n v="77.599999999999994"/>
    <s v="C"/>
    <n v="67.666666666666671"/>
    <x v="1"/>
    <x v="1"/>
  </r>
  <r>
    <s v="STU1527"/>
    <x v="120"/>
    <x v="1"/>
    <n v="22"/>
    <x v="3"/>
    <x v="0"/>
    <n v="100"/>
    <n v="93"/>
    <n v="40"/>
    <n v="75.59"/>
    <s v="B"/>
    <n v="77.666666666666671"/>
    <x v="0"/>
    <x v="0"/>
  </r>
  <r>
    <s v="STU1528"/>
    <x v="146"/>
    <x v="0"/>
    <n v="21"/>
    <x v="1"/>
    <x v="3"/>
    <n v="86"/>
    <n v="81"/>
    <n v="46"/>
    <n v="64.400000000000006"/>
    <s v="B"/>
    <n v="71"/>
    <x v="0"/>
    <x v="0"/>
  </r>
  <r>
    <s v="STU1529"/>
    <x v="165"/>
    <x v="0"/>
    <n v="20"/>
    <x v="3"/>
    <x v="0"/>
    <n v="76"/>
    <n v="62"/>
    <n v="58"/>
    <n v="99.99"/>
    <s v="C"/>
    <n v="65.333333333333329"/>
    <x v="0"/>
    <x v="0"/>
  </r>
  <r>
    <s v="STU1530"/>
    <x v="158"/>
    <x v="1"/>
    <n v="18"/>
    <x v="0"/>
    <x v="2"/>
    <n v="65"/>
    <n v="37"/>
    <n v="85"/>
    <n v="91.19"/>
    <s v="C"/>
    <n v="62.333333333333336"/>
    <x v="1"/>
    <x v="1"/>
  </r>
  <r>
    <s v="STU1531"/>
    <x v="107"/>
    <x v="0"/>
    <n v="21"/>
    <x v="1"/>
    <x v="4"/>
    <n v="93"/>
    <n v="78"/>
    <n v="92"/>
    <n v="89.42"/>
    <s v="A"/>
    <n v="87.666666666666671"/>
    <x v="0"/>
    <x v="0"/>
  </r>
  <r>
    <s v="STU1532"/>
    <x v="164"/>
    <x v="1"/>
    <n v="22"/>
    <x v="2"/>
    <x v="0"/>
    <n v="81"/>
    <n v="53"/>
    <n v="70"/>
    <n v="76.540000000000006"/>
    <s v="C"/>
    <n v="68"/>
    <x v="0"/>
    <x v="0"/>
  </r>
  <r>
    <s v="STU1533"/>
    <x v="127"/>
    <x v="1"/>
    <n v="22"/>
    <x v="1"/>
    <x v="5"/>
    <n v="35"/>
    <n v="99"/>
    <n v="55"/>
    <n v="70.08"/>
    <s v="C"/>
    <n v="63"/>
    <x v="1"/>
    <x v="1"/>
  </r>
  <r>
    <s v="STU1534"/>
    <x v="166"/>
    <x v="0"/>
    <n v="21"/>
    <x v="4"/>
    <x v="0"/>
    <n v="48"/>
    <n v="84"/>
    <n v="86"/>
    <n v="76.180000000000007"/>
    <s v="B"/>
    <n v="72.666666666666671"/>
    <x v="0"/>
    <x v="0"/>
  </r>
  <r>
    <s v="STU1535"/>
    <x v="96"/>
    <x v="0"/>
    <n v="20"/>
    <x v="1"/>
    <x v="0"/>
    <n v="43"/>
    <n v="80"/>
    <n v="94"/>
    <n v="97.45"/>
    <s v="B"/>
    <n v="72.333333333333329"/>
    <x v="0"/>
    <x v="0"/>
  </r>
  <r>
    <s v="STU1536"/>
    <x v="3"/>
    <x v="0"/>
    <n v="22"/>
    <x v="2"/>
    <x v="4"/>
    <n v="92"/>
    <n v="99"/>
    <n v="77"/>
    <n v="67.36"/>
    <s v="A"/>
    <n v="89.333333333333329"/>
    <x v="0"/>
    <x v="0"/>
  </r>
  <r>
    <s v="STU1537"/>
    <x v="34"/>
    <x v="0"/>
    <n v="18"/>
    <x v="0"/>
    <x v="0"/>
    <n v="64"/>
    <n v="35"/>
    <n v="53"/>
    <n v="82.27"/>
    <s v="D"/>
    <n v="50.666666666666664"/>
    <x v="1"/>
    <x v="1"/>
  </r>
  <r>
    <s v="STU1538"/>
    <x v="115"/>
    <x v="1"/>
    <n v="18"/>
    <x v="4"/>
    <x v="1"/>
    <n v="94"/>
    <n v="48"/>
    <n v="78"/>
    <n v="92.32"/>
    <s v="B"/>
    <n v="73.333333333333329"/>
    <x v="0"/>
    <x v="0"/>
  </r>
  <r>
    <s v="STU1539"/>
    <x v="173"/>
    <x v="1"/>
    <n v="20"/>
    <x v="4"/>
    <x v="3"/>
    <n v="72"/>
    <n v="49"/>
    <n v="53"/>
    <n v="90.7"/>
    <s v="D"/>
    <n v="58"/>
    <x v="0"/>
    <x v="2"/>
  </r>
  <r>
    <s v="STU1540"/>
    <x v="27"/>
    <x v="1"/>
    <n v="18"/>
    <x v="3"/>
    <x v="3"/>
    <n v="46"/>
    <n v="54"/>
    <n v="44"/>
    <n v="70.489999999999995"/>
    <s v="F"/>
    <n v="48"/>
    <x v="0"/>
    <x v="2"/>
  </r>
  <r>
    <s v="STU1541"/>
    <x v="146"/>
    <x v="0"/>
    <n v="21"/>
    <x v="2"/>
    <x v="5"/>
    <n v="73"/>
    <n v="64"/>
    <n v="86"/>
    <n v="83.81"/>
    <s v="B"/>
    <n v="74.333333333333329"/>
    <x v="0"/>
    <x v="0"/>
  </r>
  <r>
    <s v="STU1542"/>
    <x v="2"/>
    <x v="1"/>
    <n v="18"/>
    <x v="3"/>
    <x v="1"/>
    <n v="67"/>
    <n v="90"/>
    <n v="99"/>
    <n v="80.86"/>
    <s v="A"/>
    <n v="85.333333333333329"/>
    <x v="0"/>
    <x v="0"/>
  </r>
  <r>
    <s v="STU1543"/>
    <x v="186"/>
    <x v="1"/>
    <n v="23"/>
    <x v="1"/>
    <x v="1"/>
    <n v="65"/>
    <n v="62"/>
    <n v="48"/>
    <n v="67.819999999999993"/>
    <s v="D"/>
    <n v="58.333333333333336"/>
    <x v="0"/>
    <x v="2"/>
  </r>
  <r>
    <s v="STU1544"/>
    <x v="99"/>
    <x v="0"/>
    <n v="19"/>
    <x v="2"/>
    <x v="0"/>
    <n v="51"/>
    <n v="86"/>
    <n v="36"/>
    <n v="63.05"/>
    <s v="D"/>
    <n v="57.666666666666664"/>
    <x v="1"/>
    <x v="1"/>
  </r>
  <r>
    <s v="STU1545"/>
    <x v="124"/>
    <x v="1"/>
    <n v="19"/>
    <x v="4"/>
    <x v="0"/>
    <n v="94"/>
    <n v="55"/>
    <n v="46"/>
    <n v="61.19"/>
    <s v="C"/>
    <n v="65"/>
    <x v="0"/>
    <x v="0"/>
  </r>
  <r>
    <s v="STU1546"/>
    <x v="83"/>
    <x v="0"/>
    <n v="21"/>
    <x v="4"/>
    <x v="3"/>
    <n v="41"/>
    <n v="67"/>
    <n v="42"/>
    <n v="82.32"/>
    <s v="D"/>
    <n v="50"/>
    <x v="0"/>
    <x v="2"/>
  </r>
  <r>
    <s v="STU1547"/>
    <x v="173"/>
    <x v="1"/>
    <n v="19"/>
    <x v="4"/>
    <x v="5"/>
    <n v="83"/>
    <n v="83"/>
    <n v="60"/>
    <n v="98.39"/>
    <s v="B"/>
    <n v="75.333333333333329"/>
    <x v="0"/>
    <x v="0"/>
  </r>
  <r>
    <s v="STU1548"/>
    <x v="117"/>
    <x v="0"/>
    <n v="18"/>
    <x v="0"/>
    <x v="4"/>
    <n v="41"/>
    <n v="41"/>
    <n v="96"/>
    <n v="67.099999999999994"/>
    <s v="D"/>
    <n v="59.333333333333336"/>
    <x v="0"/>
    <x v="2"/>
  </r>
  <r>
    <s v="STU1549"/>
    <x v="54"/>
    <x v="1"/>
    <n v="18"/>
    <x v="2"/>
    <x v="0"/>
    <n v="51"/>
    <n v="66"/>
    <n v="39"/>
    <n v="61.43"/>
    <s v="D"/>
    <n v="52"/>
    <x v="1"/>
    <x v="1"/>
  </r>
  <r>
    <s v="STU1550"/>
    <x v="99"/>
    <x v="0"/>
    <n v="19"/>
    <x v="3"/>
    <x v="4"/>
    <n v="48"/>
    <n v="100"/>
    <n v="47"/>
    <n v="61.27"/>
    <s v="C"/>
    <n v="65"/>
    <x v="0"/>
    <x v="0"/>
  </r>
  <r>
    <s v="STU1551"/>
    <x v="91"/>
    <x v="0"/>
    <n v="19"/>
    <x v="0"/>
    <x v="3"/>
    <n v="96"/>
    <n v="44"/>
    <n v="44"/>
    <n v="61.38"/>
    <s v="C"/>
    <n v="61.333333333333336"/>
    <x v="0"/>
    <x v="0"/>
  </r>
  <r>
    <s v="STU1552"/>
    <x v="184"/>
    <x v="0"/>
    <n v="20"/>
    <x v="0"/>
    <x v="0"/>
    <n v="35"/>
    <n v="86"/>
    <n v="54"/>
    <n v="76.22"/>
    <s v="D"/>
    <n v="58.333333333333336"/>
    <x v="1"/>
    <x v="1"/>
  </r>
  <r>
    <s v="STU1553"/>
    <x v="53"/>
    <x v="0"/>
    <n v="18"/>
    <x v="3"/>
    <x v="3"/>
    <n v="78"/>
    <n v="64"/>
    <n v="86"/>
    <n v="84.17"/>
    <s v="B"/>
    <n v="76"/>
    <x v="0"/>
    <x v="0"/>
  </r>
  <r>
    <s v="STU1554"/>
    <x v="34"/>
    <x v="0"/>
    <n v="23"/>
    <x v="4"/>
    <x v="1"/>
    <n v="75"/>
    <n v="63"/>
    <n v="53"/>
    <n v="71.69"/>
    <s v="C"/>
    <n v="63.666666666666664"/>
    <x v="0"/>
    <x v="0"/>
  </r>
  <r>
    <s v="STU1555"/>
    <x v="61"/>
    <x v="1"/>
    <n v="21"/>
    <x v="1"/>
    <x v="0"/>
    <n v="93"/>
    <n v="49"/>
    <n v="48"/>
    <n v="61.32"/>
    <s v="C"/>
    <n v="63.333333333333336"/>
    <x v="0"/>
    <x v="0"/>
  </r>
  <r>
    <s v="STU1556"/>
    <x v="12"/>
    <x v="0"/>
    <n v="23"/>
    <x v="3"/>
    <x v="3"/>
    <n v="79"/>
    <n v="84"/>
    <n v="71"/>
    <n v="91.56"/>
    <s v="B"/>
    <n v="78"/>
    <x v="0"/>
    <x v="0"/>
  </r>
  <r>
    <s v="STU1557"/>
    <x v="169"/>
    <x v="1"/>
    <n v="20"/>
    <x v="3"/>
    <x v="2"/>
    <n v="75"/>
    <n v="50"/>
    <n v="74"/>
    <n v="72.77"/>
    <s v="C"/>
    <n v="66.333333333333329"/>
    <x v="0"/>
    <x v="0"/>
  </r>
  <r>
    <s v="STU1558"/>
    <x v="127"/>
    <x v="1"/>
    <n v="19"/>
    <x v="2"/>
    <x v="0"/>
    <n v="76"/>
    <n v="98"/>
    <n v="53"/>
    <n v="82.09"/>
    <s v="B"/>
    <n v="75.666666666666671"/>
    <x v="0"/>
    <x v="0"/>
  </r>
  <r>
    <s v="STU1559"/>
    <x v="142"/>
    <x v="1"/>
    <n v="19"/>
    <x v="2"/>
    <x v="4"/>
    <n v="100"/>
    <n v="61"/>
    <n v="54"/>
    <n v="75.09"/>
    <s v="B"/>
    <n v="71.666666666666671"/>
    <x v="0"/>
    <x v="0"/>
  </r>
  <r>
    <s v="STU1560"/>
    <x v="21"/>
    <x v="0"/>
    <n v="21"/>
    <x v="1"/>
    <x v="1"/>
    <n v="38"/>
    <n v="98"/>
    <n v="52"/>
    <n v="78.099999999999994"/>
    <s v="C"/>
    <n v="62.666666666666664"/>
    <x v="1"/>
    <x v="1"/>
  </r>
  <r>
    <s v="STU1561"/>
    <x v="27"/>
    <x v="1"/>
    <n v="23"/>
    <x v="4"/>
    <x v="1"/>
    <n v="70"/>
    <n v="43"/>
    <n v="81"/>
    <n v="70"/>
    <s v="C"/>
    <n v="64.666666666666671"/>
    <x v="0"/>
    <x v="0"/>
  </r>
  <r>
    <s v="STU1562"/>
    <x v="124"/>
    <x v="1"/>
    <n v="23"/>
    <x v="1"/>
    <x v="2"/>
    <n v="96"/>
    <n v="84"/>
    <n v="76"/>
    <n v="85.01"/>
    <s v="A"/>
    <n v="85.333333333333329"/>
    <x v="0"/>
    <x v="0"/>
  </r>
  <r>
    <s v="STU1563"/>
    <x v="187"/>
    <x v="1"/>
    <n v="21"/>
    <x v="1"/>
    <x v="0"/>
    <n v="41"/>
    <n v="83"/>
    <n v="72"/>
    <n v="88.65"/>
    <s v="C"/>
    <n v="65.333333333333329"/>
    <x v="0"/>
    <x v="0"/>
  </r>
  <r>
    <s v="STU1564"/>
    <x v="104"/>
    <x v="1"/>
    <n v="21"/>
    <x v="3"/>
    <x v="2"/>
    <n v="40"/>
    <n v="63"/>
    <n v="77"/>
    <n v="70.489999999999995"/>
    <s v="C"/>
    <n v="60"/>
    <x v="0"/>
    <x v="0"/>
  </r>
  <r>
    <s v="STU1565"/>
    <x v="34"/>
    <x v="0"/>
    <n v="22"/>
    <x v="3"/>
    <x v="2"/>
    <n v="83"/>
    <n v="58"/>
    <n v="61"/>
    <n v="86.59"/>
    <s v="C"/>
    <n v="67.333333333333329"/>
    <x v="0"/>
    <x v="0"/>
  </r>
  <r>
    <s v="STU1566"/>
    <x v="178"/>
    <x v="1"/>
    <n v="18"/>
    <x v="3"/>
    <x v="4"/>
    <n v="66"/>
    <n v="73"/>
    <n v="39"/>
    <n v="74.739999999999995"/>
    <s v="D"/>
    <n v="59.333333333333336"/>
    <x v="1"/>
    <x v="1"/>
  </r>
  <r>
    <s v="STU1567"/>
    <x v="3"/>
    <x v="1"/>
    <n v="19"/>
    <x v="0"/>
    <x v="4"/>
    <n v="85"/>
    <n v="63"/>
    <n v="82"/>
    <n v="70.510000000000005"/>
    <s v="B"/>
    <n v="76.666666666666671"/>
    <x v="0"/>
    <x v="0"/>
  </r>
  <r>
    <s v="STU1568"/>
    <x v="111"/>
    <x v="1"/>
    <n v="23"/>
    <x v="2"/>
    <x v="3"/>
    <n v="60"/>
    <n v="54"/>
    <n v="74"/>
    <n v="94.62"/>
    <s v="C"/>
    <n v="62.666666666666664"/>
    <x v="0"/>
    <x v="0"/>
  </r>
  <r>
    <s v="STU1569"/>
    <x v="180"/>
    <x v="0"/>
    <n v="23"/>
    <x v="4"/>
    <x v="0"/>
    <n v="54"/>
    <n v="52"/>
    <n v="76"/>
    <n v="89.28"/>
    <s v="C"/>
    <n v="60.666666666666664"/>
    <x v="0"/>
    <x v="0"/>
  </r>
  <r>
    <s v="STU1570"/>
    <x v="141"/>
    <x v="1"/>
    <n v="19"/>
    <x v="2"/>
    <x v="0"/>
    <n v="58"/>
    <n v="69"/>
    <n v="95"/>
    <n v="85.37"/>
    <s v="B"/>
    <n v="74"/>
    <x v="0"/>
    <x v="0"/>
  </r>
  <r>
    <s v="STU1571"/>
    <x v="141"/>
    <x v="1"/>
    <n v="21"/>
    <x v="0"/>
    <x v="1"/>
    <n v="99"/>
    <n v="49"/>
    <n v="77"/>
    <n v="74.34"/>
    <s v="B"/>
    <n v="75"/>
    <x v="0"/>
    <x v="0"/>
  </r>
  <r>
    <s v="STU1572"/>
    <x v="143"/>
    <x v="1"/>
    <n v="21"/>
    <x v="3"/>
    <x v="0"/>
    <n v="40"/>
    <n v="99"/>
    <n v="51"/>
    <n v="82.16"/>
    <s v="C"/>
    <n v="63.333333333333336"/>
    <x v="0"/>
    <x v="0"/>
  </r>
  <r>
    <s v="STU1573"/>
    <x v="142"/>
    <x v="1"/>
    <n v="18"/>
    <x v="1"/>
    <x v="4"/>
    <n v="44"/>
    <n v="93"/>
    <n v="35"/>
    <n v="73.03"/>
    <s v="D"/>
    <n v="57.333333333333336"/>
    <x v="1"/>
    <x v="1"/>
  </r>
  <r>
    <s v="STU1574"/>
    <x v="15"/>
    <x v="1"/>
    <n v="22"/>
    <x v="0"/>
    <x v="5"/>
    <n v="83"/>
    <n v="67"/>
    <n v="67"/>
    <n v="96.68"/>
    <s v="B"/>
    <n v="72.333333333333329"/>
    <x v="0"/>
    <x v="0"/>
  </r>
  <r>
    <s v="STU1575"/>
    <x v="9"/>
    <x v="1"/>
    <n v="21"/>
    <x v="3"/>
    <x v="3"/>
    <n v="43"/>
    <n v="35"/>
    <n v="80"/>
    <n v="80.06"/>
    <s v="D"/>
    <n v="52.666666666666664"/>
    <x v="1"/>
    <x v="1"/>
  </r>
  <r>
    <s v="STU1576"/>
    <x v="96"/>
    <x v="1"/>
    <n v="21"/>
    <x v="1"/>
    <x v="3"/>
    <n v="78"/>
    <n v="92"/>
    <n v="61"/>
    <n v="91.5"/>
    <s v="B"/>
    <n v="77"/>
    <x v="0"/>
    <x v="0"/>
  </r>
  <r>
    <s v="STU1577"/>
    <x v="44"/>
    <x v="1"/>
    <n v="23"/>
    <x v="0"/>
    <x v="5"/>
    <n v="39"/>
    <n v="86"/>
    <n v="40"/>
    <n v="94.74"/>
    <s v="D"/>
    <n v="55"/>
    <x v="1"/>
    <x v="1"/>
  </r>
  <r>
    <s v="STU1578"/>
    <x v="60"/>
    <x v="0"/>
    <n v="21"/>
    <x v="1"/>
    <x v="2"/>
    <n v="90"/>
    <n v="74"/>
    <n v="57"/>
    <n v="61.36"/>
    <s v="B"/>
    <n v="73.666666666666671"/>
    <x v="0"/>
    <x v="0"/>
  </r>
  <r>
    <s v="STU1579"/>
    <x v="53"/>
    <x v="0"/>
    <n v="20"/>
    <x v="4"/>
    <x v="0"/>
    <n v="66"/>
    <n v="56"/>
    <n v="57"/>
    <n v="95.12"/>
    <s v="D"/>
    <n v="59.666666666666664"/>
    <x v="0"/>
    <x v="2"/>
  </r>
  <r>
    <s v="STU1580"/>
    <x v="87"/>
    <x v="1"/>
    <n v="20"/>
    <x v="3"/>
    <x v="0"/>
    <n v="70"/>
    <n v="85"/>
    <n v="85"/>
    <n v="80.33"/>
    <s v="A"/>
    <n v="80"/>
    <x v="0"/>
    <x v="0"/>
  </r>
  <r>
    <s v="STU1581"/>
    <x v="66"/>
    <x v="0"/>
    <n v="20"/>
    <x v="1"/>
    <x v="5"/>
    <n v="100"/>
    <n v="97"/>
    <n v="48"/>
    <n v="72.72"/>
    <s v="A"/>
    <n v="81.666666666666671"/>
    <x v="0"/>
    <x v="0"/>
  </r>
  <r>
    <s v="STU1582"/>
    <x v="78"/>
    <x v="0"/>
    <n v="21"/>
    <x v="4"/>
    <x v="3"/>
    <n v="96"/>
    <n v="64"/>
    <n v="53"/>
    <n v="62.14"/>
    <s v="B"/>
    <n v="71"/>
    <x v="0"/>
    <x v="0"/>
  </r>
  <r>
    <s v="STU1583"/>
    <x v="3"/>
    <x v="0"/>
    <n v="20"/>
    <x v="2"/>
    <x v="1"/>
    <n v="42"/>
    <n v="46"/>
    <n v="75"/>
    <n v="91.73"/>
    <s v="D"/>
    <n v="54.333333333333336"/>
    <x v="0"/>
    <x v="2"/>
  </r>
  <r>
    <s v="STU1584"/>
    <x v="167"/>
    <x v="1"/>
    <n v="19"/>
    <x v="1"/>
    <x v="0"/>
    <n v="60"/>
    <n v="91"/>
    <n v="52"/>
    <n v="87.09"/>
    <s v="C"/>
    <n v="67.666666666666671"/>
    <x v="0"/>
    <x v="0"/>
  </r>
  <r>
    <s v="STU1585"/>
    <x v="59"/>
    <x v="1"/>
    <n v="22"/>
    <x v="3"/>
    <x v="0"/>
    <n v="47"/>
    <n v="68"/>
    <n v="83"/>
    <n v="79.34"/>
    <s v="C"/>
    <n v="66"/>
    <x v="0"/>
    <x v="0"/>
  </r>
  <r>
    <s v="STU1586"/>
    <x v="183"/>
    <x v="0"/>
    <n v="21"/>
    <x v="3"/>
    <x v="0"/>
    <n v="87"/>
    <n v="72"/>
    <n v="90"/>
    <n v="77.290000000000006"/>
    <s v="A"/>
    <n v="83"/>
    <x v="0"/>
    <x v="0"/>
  </r>
  <r>
    <s v="STU1587"/>
    <x v="140"/>
    <x v="1"/>
    <n v="23"/>
    <x v="2"/>
    <x v="0"/>
    <n v="98"/>
    <n v="85"/>
    <n v="89"/>
    <n v="75.319999999999993"/>
    <s v="A+"/>
    <n v="90.666666666666671"/>
    <x v="0"/>
    <x v="0"/>
  </r>
  <r>
    <s v="STU1588"/>
    <x v="15"/>
    <x v="1"/>
    <n v="20"/>
    <x v="3"/>
    <x v="5"/>
    <n v="85"/>
    <n v="81"/>
    <n v="87"/>
    <n v="85.48"/>
    <s v="A"/>
    <n v="84.333333333333329"/>
    <x v="0"/>
    <x v="0"/>
  </r>
  <r>
    <s v="STU1589"/>
    <x v="39"/>
    <x v="1"/>
    <n v="22"/>
    <x v="2"/>
    <x v="0"/>
    <n v="78"/>
    <n v="63"/>
    <n v="48"/>
    <n v="63.91"/>
    <s v="C"/>
    <n v="63"/>
    <x v="0"/>
    <x v="0"/>
  </r>
  <r>
    <s v="STU1590"/>
    <x v="34"/>
    <x v="0"/>
    <n v="21"/>
    <x v="4"/>
    <x v="0"/>
    <n v="44"/>
    <n v="82"/>
    <n v="58"/>
    <n v="74.05"/>
    <s v="C"/>
    <n v="61.333333333333336"/>
    <x v="0"/>
    <x v="0"/>
  </r>
  <r>
    <s v="STU1591"/>
    <x v="140"/>
    <x v="1"/>
    <n v="20"/>
    <x v="1"/>
    <x v="1"/>
    <n v="91"/>
    <n v="78"/>
    <n v="53"/>
    <n v="64.83"/>
    <s v="B"/>
    <n v="74"/>
    <x v="0"/>
    <x v="0"/>
  </r>
  <r>
    <s v="STU1592"/>
    <x v="108"/>
    <x v="1"/>
    <n v="19"/>
    <x v="0"/>
    <x v="0"/>
    <n v="56"/>
    <n v="47"/>
    <n v="69"/>
    <n v="85.67"/>
    <s v="D"/>
    <n v="57.333333333333336"/>
    <x v="0"/>
    <x v="2"/>
  </r>
  <r>
    <s v="STU1593"/>
    <x v="106"/>
    <x v="0"/>
    <n v="23"/>
    <x v="3"/>
    <x v="4"/>
    <n v="55"/>
    <n v="36"/>
    <n v="38"/>
    <n v="65.67"/>
    <s v="F"/>
    <n v="43"/>
    <x v="1"/>
    <x v="1"/>
  </r>
  <r>
    <s v="STU1594"/>
    <x v="125"/>
    <x v="1"/>
    <n v="22"/>
    <x v="4"/>
    <x v="5"/>
    <n v="93"/>
    <n v="49"/>
    <n v="50"/>
    <n v="65.819999999999993"/>
    <s v="C"/>
    <n v="64"/>
    <x v="0"/>
    <x v="0"/>
  </r>
  <r>
    <s v="STU1595"/>
    <x v="175"/>
    <x v="1"/>
    <n v="19"/>
    <x v="2"/>
    <x v="5"/>
    <n v="71"/>
    <n v="95"/>
    <n v="90"/>
    <n v="95.05"/>
    <s v="A"/>
    <n v="85.333333333333329"/>
    <x v="0"/>
    <x v="0"/>
  </r>
  <r>
    <s v="STU1596"/>
    <x v="138"/>
    <x v="1"/>
    <n v="20"/>
    <x v="3"/>
    <x v="0"/>
    <n v="65"/>
    <n v="44"/>
    <n v="48"/>
    <n v="75.72"/>
    <s v="D"/>
    <n v="52.333333333333336"/>
    <x v="0"/>
    <x v="2"/>
  </r>
  <r>
    <s v="STU1597"/>
    <x v="123"/>
    <x v="1"/>
    <n v="19"/>
    <x v="4"/>
    <x v="3"/>
    <n v="95"/>
    <n v="87"/>
    <n v="72"/>
    <n v="91.24"/>
    <s v="A"/>
    <n v="84.666666666666671"/>
    <x v="0"/>
    <x v="0"/>
  </r>
  <r>
    <s v="STU1598"/>
    <x v="183"/>
    <x v="1"/>
    <n v="23"/>
    <x v="0"/>
    <x v="1"/>
    <n v="47"/>
    <n v="48"/>
    <n v="50"/>
    <n v="61.17"/>
    <s v="F"/>
    <n v="48.333333333333336"/>
    <x v="0"/>
    <x v="2"/>
  </r>
  <r>
    <s v="STU1599"/>
    <x v="121"/>
    <x v="1"/>
    <n v="18"/>
    <x v="3"/>
    <x v="2"/>
    <n v="83"/>
    <n v="65"/>
    <n v="55"/>
    <n v="76.39"/>
    <s v="C"/>
    <n v="67.666666666666671"/>
    <x v="0"/>
    <x v="0"/>
  </r>
  <r>
    <s v="STU1600"/>
    <x v="50"/>
    <x v="0"/>
    <n v="23"/>
    <x v="1"/>
    <x v="1"/>
    <n v="67"/>
    <n v="84"/>
    <n v="63"/>
    <n v="85.41"/>
    <s v="B"/>
    <n v="71.333333333333329"/>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A78173-F97A-4804-BBF1-06D9B9A22D3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B21" firstHeaderRow="1" firstDataRow="1" firstDataCol="1" rowPageCount="1" colPageCount="1"/>
  <pivotFields count="14">
    <pivotField showAll="0"/>
    <pivotField showAll="0"/>
    <pivotField showAll="0">
      <items count="3">
        <item x="1"/>
        <item x="0"/>
        <item t="default"/>
      </items>
    </pivotField>
    <pivotField showAll="0"/>
    <pivotField axis="axisRow" showAll="0">
      <items count="6">
        <item x="4"/>
        <item x="2"/>
        <item x="0"/>
        <item x="3"/>
        <item x="1"/>
        <item t="default"/>
      </items>
    </pivotField>
    <pivotField showAll="0">
      <items count="7">
        <item x="0"/>
        <item x="3"/>
        <item x="4"/>
        <item x="5"/>
        <item x="1"/>
        <item x="2"/>
        <item t="default"/>
      </items>
    </pivotField>
    <pivotField showAll="0"/>
    <pivotField showAll="0"/>
    <pivotField showAll="0"/>
    <pivotField showAll="0"/>
    <pivotField showAll="0"/>
    <pivotField numFmtId="2" showAll="0"/>
    <pivotField axis="axisPage" dataField="1" multipleItemSelectionAllowed="1" showAll="0">
      <items count="3">
        <item x="1"/>
        <item h="1" x="0"/>
        <item t="default"/>
      </items>
    </pivotField>
    <pivotField showAll="0"/>
  </pivotFields>
  <rowFields count="1">
    <field x="4"/>
  </rowFields>
  <rowItems count="6">
    <i>
      <x/>
    </i>
    <i>
      <x v="1"/>
    </i>
    <i>
      <x v="2"/>
    </i>
    <i>
      <x v="3"/>
    </i>
    <i>
      <x v="4"/>
    </i>
    <i t="grand">
      <x/>
    </i>
  </rowItems>
  <colItems count="1">
    <i/>
  </colItems>
  <pageFields count="1">
    <pageField fld="12" hier="-1"/>
  </pageFields>
  <dataFields count="1">
    <dataField name="Count of Pass/Fail" fld="12" subtotal="count" baseField="0" baseItem="0"/>
  </dataFields>
  <formats count="30">
    <format dxfId="32">
      <pivotArea type="all" dataOnly="0" outline="0" fieldPosition="0"/>
    </format>
    <format dxfId="31">
      <pivotArea outline="0" collapsedLevelsAreSubtotals="1" fieldPosition="0"/>
    </format>
    <format dxfId="30">
      <pivotArea field="4" type="button" dataOnly="0" labelOnly="1" outline="0" axis="axisRow" fieldPosition="0"/>
    </format>
    <format dxfId="29">
      <pivotArea dataOnly="0" labelOnly="1" fieldPosition="0">
        <references count="1">
          <reference field="4" count="0"/>
        </references>
      </pivotArea>
    </format>
    <format dxfId="28">
      <pivotArea dataOnly="0" labelOnly="1" grandRow="1" outline="0" fieldPosition="0"/>
    </format>
    <format dxfId="27">
      <pivotArea dataOnly="0" labelOnly="1" outline="0" axis="axisValues" fieldPosition="0"/>
    </format>
    <format dxfId="26">
      <pivotArea type="all" dataOnly="0" outline="0" fieldPosition="0"/>
    </format>
    <format dxfId="25">
      <pivotArea outline="0" collapsedLevelsAreSubtotals="1" fieldPosition="0"/>
    </format>
    <format dxfId="24">
      <pivotArea field="4" type="button" dataOnly="0" labelOnly="1" outline="0" axis="axisRow" fieldPosition="0"/>
    </format>
    <format dxfId="23">
      <pivotArea dataOnly="0" labelOnly="1" fieldPosition="0">
        <references count="1">
          <reference field="4" count="0"/>
        </references>
      </pivotArea>
    </format>
    <format dxfId="22">
      <pivotArea dataOnly="0" labelOnly="1" grandRow="1" outline="0" fieldPosition="0"/>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field="4" type="button" dataOnly="0" labelOnly="1" outline="0" axis="axisRow" fieldPosition="0"/>
    </format>
    <format dxfId="17">
      <pivotArea dataOnly="0" labelOnly="1" fieldPosition="0">
        <references count="1">
          <reference field="4" count="0"/>
        </references>
      </pivotArea>
    </format>
    <format dxfId="16">
      <pivotArea dataOnly="0" labelOnly="1" grandRow="1" outline="0" fieldPosition="0"/>
    </format>
    <format dxfId="15">
      <pivotArea dataOnly="0" labelOnly="1" outline="0" axis="axisValues" fieldPosition="0"/>
    </format>
    <format dxfId="14">
      <pivotArea type="all" dataOnly="0" outline="0" fieldPosition="0"/>
    </format>
    <format dxfId="13">
      <pivotArea outline="0" collapsedLevelsAreSubtotals="1" fieldPosition="0"/>
    </format>
    <format dxfId="12">
      <pivotArea field="4" type="button" dataOnly="0" labelOnly="1" outline="0" axis="axisRow" fieldPosition="0"/>
    </format>
    <format dxfId="11">
      <pivotArea dataOnly="0" labelOnly="1" fieldPosition="0">
        <references count="1">
          <reference field="4" count="0"/>
        </references>
      </pivotArea>
    </format>
    <format dxfId="10">
      <pivotArea dataOnly="0" labelOnly="1" grandRow="1" outline="0" fieldPosition="0"/>
    </format>
    <format dxfId="9">
      <pivotArea dataOnly="0" labelOnly="1" outline="0" axis="axisValues" fieldPosition="0"/>
    </format>
    <format dxfId="8">
      <pivotArea type="all" dataOnly="0" outline="0" fieldPosition="0"/>
    </format>
    <format dxfId="7">
      <pivotArea outline="0" collapsedLevelsAreSubtotals="1" fieldPosition="0"/>
    </format>
    <format dxfId="6">
      <pivotArea field="4" type="button" dataOnly="0" labelOnly="1" outline="0" axis="axisRow" fieldPosition="0"/>
    </format>
    <format dxfId="5">
      <pivotArea dataOnly="0" labelOnly="1" fieldPosition="0">
        <references count="1">
          <reference field="4" count="0"/>
        </references>
      </pivotArea>
    </format>
    <format dxfId="4">
      <pivotArea dataOnly="0" labelOnly="1" grandRow="1" outline="0" fieldPosition="0"/>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807A98-28BA-441A-B0C4-6675F458162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C12" firstHeaderRow="0" firstDataRow="1" firstDataCol="1"/>
  <pivotFields count="14">
    <pivotField dataField="1" showAll="0"/>
    <pivotField showAll="0"/>
    <pivotField showAll="0">
      <items count="3">
        <item x="1"/>
        <item x="0"/>
        <item t="default"/>
      </items>
    </pivotField>
    <pivotField showAll="0"/>
    <pivotField axis="axisRow" showAll="0">
      <items count="6">
        <item x="4"/>
        <item x="2"/>
        <item x="0"/>
        <item x="3"/>
        <item x="1"/>
        <item t="default"/>
      </items>
    </pivotField>
    <pivotField showAll="0">
      <items count="7">
        <item x="0"/>
        <item x="3"/>
        <item x="4"/>
        <item x="5"/>
        <item x="1"/>
        <item x="2"/>
        <item t="default"/>
      </items>
    </pivotField>
    <pivotField showAll="0"/>
    <pivotField showAll="0"/>
    <pivotField showAll="0"/>
    <pivotField showAll="0"/>
    <pivotField showAll="0"/>
    <pivotField dataField="1" numFmtId="2" showAll="0"/>
    <pivotField showAll="0"/>
    <pivotField showAll="0"/>
  </pivotFields>
  <rowFields count="1">
    <field x="4"/>
  </rowFields>
  <rowItems count="6">
    <i>
      <x/>
    </i>
    <i>
      <x v="1"/>
    </i>
    <i>
      <x v="2"/>
    </i>
    <i>
      <x v="3"/>
    </i>
    <i>
      <x v="4"/>
    </i>
    <i t="grand">
      <x/>
    </i>
  </rowItems>
  <colFields count="1">
    <field x="-2"/>
  </colFields>
  <colItems count="2">
    <i>
      <x/>
    </i>
    <i i="1">
      <x v="1"/>
    </i>
  </colItems>
  <dataFields count="2">
    <dataField name="Count of Student ID" fld="0" subtotal="count" baseField="4" baseItem="0"/>
    <dataField name="Average of Average score" fld="11" subtotal="average" baseField="4" baseItem="0" numFmtId="2"/>
  </dataFields>
  <formats count="30">
    <format dxfId="62">
      <pivotArea type="all" dataOnly="0" outline="0" fieldPosition="0"/>
    </format>
    <format dxfId="61">
      <pivotArea outline="0" collapsedLevelsAreSubtotals="1" fieldPosition="0"/>
    </format>
    <format dxfId="60">
      <pivotArea field="4" type="button" dataOnly="0" labelOnly="1" outline="0" axis="axisRow" fieldPosition="0"/>
    </format>
    <format dxfId="59">
      <pivotArea dataOnly="0" labelOnly="1" fieldPosition="0">
        <references count="1">
          <reference field="4" count="0"/>
        </references>
      </pivotArea>
    </format>
    <format dxfId="58">
      <pivotArea dataOnly="0" labelOnly="1" grandRow="1" outline="0" fieldPosition="0"/>
    </format>
    <format dxfId="57">
      <pivotArea dataOnly="0" labelOnly="1" outline="0" fieldPosition="0">
        <references count="1">
          <reference field="4294967294" count="2">
            <x v="0"/>
            <x v="1"/>
          </reference>
        </references>
      </pivotArea>
    </format>
    <format dxfId="56">
      <pivotArea type="all" dataOnly="0" outline="0" fieldPosition="0"/>
    </format>
    <format dxfId="55">
      <pivotArea outline="0" collapsedLevelsAreSubtotals="1" fieldPosition="0"/>
    </format>
    <format dxfId="54">
      <pivotArea field="4" type="button" dataOnly="0" labelOnly="1" outline="0" axis="axisRow" fieldPosition="0"/>
    </format>
    <format dxfId="53">
      <pivotArea dataOnly="0" labelOnly="1" fieldPosition="0">
        <references count="1">
          <reference field="4" count="0"/>
        </references>
      </pivotArea>
    </format>
    <format dxfId="52">
      <pivotArea dataOnly="0" labelOnly="1" grandRow="1" outline="0" fieldPosition="0"/>
    </format>
    <format dxfId="51">
      <pivotArea dataOnly="0" labelOnly="1" outline="0" fieldPosition="0">
        <references count="1">
          <reference field="4294967294" count="2">
            <x v="0"/>
            <x v="1"/>
          </reference>
        </references>
      </pivotArea>
    </format>
    <format dxfId="50">
      <pivotArea type="all" dataOnly="0" outline="0" fieldPosition="0"/>
    </format>
    <format dxfId="49">
      <pivotArea outline="0" collapsedLevelsAreSubtotals="1" fieldPosition="0"/>
    </format>
    <format dxfId="48">
      <pivotArea field="4" type="button" dataOnly="0" labelOnly="1" outline="0" axis="axisRow" fieldPosition="0"/>
    </format>
    <format dxfId="47">
      <pivotArea dataOnly="0" labelOnly="1" fieldPosition="0">
        <references count="1">
          <reference field="4" count="0"/>
        </references>
      </pivotArea>
    </format>
    <format dxfId="46">
      <pivotArea dataOnly="0" labelOnly="1" grandRow="1" outline="0" fieldPosition="0"/>
    </format>
    <format dxfId="45">
      <pivotArea dataOnly="0" labelOnly="1" outline="0" fieldPosition="0">
        <references count="1">
          <reference field="4294967294" count="2">
            <x v="0"/>
            <x v="1"/>
          </reference>
        </references>
      </pivotArea>
    </format>
    <format dxfId="44">
      <pivotArea type="all" dataOnly="0" outline="0" fieldPosition="0"/>
    </format>
    <format dxfId="43">
      <pivotArea outline="0" collapsedLevelsAreSubtotals="1" fieldPosition="0"/>
    </format>
    <format dxfId="42">
      <pivotArea field="4" type="button" dataOnly="0" labelOnly="1" outline="0" axis="axisRow" fieldPosition="0"/>
    </format>
    <format dxfId="41">
      <pivotArea dataOnly="0" labelOnly="1" fieldPosition="0">
        <references count="1">
          <reference field="4" count="0"/>
        </references>
      </pivotArea>
    </format>
    <format dxfId="40">
      <pivotArea dataOnly="0" labelOnly="1" grandRow="1" outline="0" fieldPosition="0"/>
    </format>
    <format dxfId="39">
      <pivotArea dataOnly="0" labelOnly="1" outline="0" fieldPosition="0">
        <references count="1">
          <reference field="4294967294" count="2">
            <x v="0"/>
            <x v="1"/>
          </reference>
        </references>
      </pivotArea>
    </format>
    <format dxfId="38">
      <pivotArea type="all" dataOnly="0" outline="0" fieldPosition="0"/>
    </format>
    <format dxfId="37">
      <pivotArea outline="0" collapsedLevelsAreSubtotals="1" fieldPosition="0"/>
    </format>
    <format dxfId="36">
      <pivotArea field="4" type="button" dataOnly="0" labelOnly="1" outline="0" axis="axisRow" fieldPosition="0"/>
    </format>
    <format dxfId="35">
      <pivotArea dataOnly="0" labelOnly="1" fieldPosition="0">
        <references count="1">
          <reference field="4" count="0"/>
        </references>
      </pivotArea>
    </format>
    <format dxfId="34">
      <pivotArea dataOnly="0" labelOnly="1" grandRow="1" outline="0" fieldPosition="0"/>
    </format>
    <format dxfId="3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EA3E91-8B7F-4045-847B-B4C3CAD2F2F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4:C30" firstHeaderRow="1" firstDataRow="1" firstDataCol="1"/>
  <pivotFields count="14">
    <pivotField showAll="0"/>
    <pivotField axis="axisRow" showAll="0" measureFilter="1">
      <items count="189">
        <item x="164"/>
        <item x="165"/>
        <item x="154"/>
        <item x="50"/>
        <item x="181"/>
        <item x="34"/>
        <item x="114"/>
        <item x="70"/>
        <item x="141"/>
        <item x="140"/>
        <item x="73"/>
        <item x="178"/>
        <item x="19"/>
        <item x="10"/>
        <item x="129"/>
        <item x="131"/>
        <item x="106"/>
        <item x="86"/>
        <item x="109"/>
        <item x="102"/>
        <item x="5"/>
        <item x="54"/>
        <item x="56"/>
        <item x="123"/>
        <item x="125"/>
        <item x="119"/>
        <item x="151"/>
        <item x="176"/>
        <item x="105"/>
        <item x="67"/>
        <item x="174"/>
        <item x="116"/>
        <item x="139"/>
        <item x="185"/>
        <item x="172"/>
        <item x="33"/>
        <item x="60"/>
        <item x="134"/>
        <item x="89"/>
        <item x="93"/>
        <item x="117"/>
        <item x="3"/>
        <item x="61"/>
        <item x="0"/>
        <item x="2"/>
        <item x="24"/>
        <item x="72"/>
        <item x="124"/>
        <item x="179"/>
        <item x="23"/>
        <item x="65"/>
        <item x="127"/>
        <item x="168"/>
        <item x="95"/>
        <item x="84"/>
        <item x="20"/>
        <item x="16"/>
        <item x="21"/>
        <item x="88"/>
        <item x="107"/>
        <item x="6"/>
        <item x="63"/>
        <item x="128"/>
        <item x="132"/>
        <item x="77"/>
        <item x="26"/>
        <item x="57"/>
        <item x="96"/>
        <item x="18"/>
        <item x="158"/>
        <item x="110"/>
        <item x="152"/>
        <item x="46"/>
        <item x="74"/>
        <item x="113"/>
        <item x="130"/>
        <item x="66"/>
        <item x="161"/>
        <item x="48"/>
        <item x="49"/>
        <item x="59"/>
        <item x="98"/>
        <item x="173"/>
        <item x="149"/>
        <item x="101"/>
        <item x="83"/>
        <item x="15"/>
        <item x="187"/>
        <item x="28"/>
        <item x="90"/>
        <item x="22"/>
        <item x="120"/>
        <item x="4"/>
        <item x="51"/>
        <item x="29"/>
        <item x="160"/>
        <item x="53"/>
        <item x="97"/>
        <item x="146"/>
        <item x="143"/>
        <item x="41"/>
        <item x="75"/>
        <item x="155"/>
        <item x="126"/>
        <item x="13"/>
        <item x="69"/>
        <item x="47"/>
        <item x="186"/>
        <item x="136"/>
        <item x="17"/>
        <item x="62"/>
        <item x="184"/>
        <item x="44"/>
        <item x="38"/>
        <item x="133"/>
        <item x="45"/>
        <item x="122"/>
        <item x="30"/>
        <item x="91"/>
        <item x="79"/>
        <item x="42"/>
        <item x="169"/>
        <item x="85"/>
        <item x="138"/>
        <item x="31"/>
        <item x="76"/>
        <item x="170"/>
        <item x="121"/>
        <item x="40"/>
        <item x="58"/>
        <item x="142"/>
        <item x="82"/>
        <item x="108"/>
        <item x="153"/>
        <item x="36"/>
        <item x="99"/>
        <item x="135"/>
        <item x="43"/>
        <item x="180"/>
        <item x="150"/>
        <item x="68"/>
        <item x="78"/>
        <item x="94"/>
        <item x="11"/>
        <item x="159"/>
        <item x="7"/>
        <item x="166"/>
        <item x="148"/>
        <item x="64"/>
        <item x="137"/>
        <item x="163"/>
        <item x="171"/>
        <item x="175"/>
        <item x="9"/>
        <item x="92"/>
        <item x="147"/>
        <item x="167"/>
        <item x="52"/>
        <item x="32"/>
        <item x="87"/>
        <item x="8"/>
        <item x="112"/>
        <item x="144"/>
        <item x="104"/>
        <item x="35"/>
        <item x="145"/>
        <item x="162"/>
        <item x="115"/>
        <item x="103"/>
        <item x="27"/>
        <item x="183"/>
        <item x="111"/>
        <item x="156"/>
        <item x="177"/>
        <item x="39"/>
        <item x="55"/>
        <item x="81"/>
        <item x="80"/>
        <item x="118"/>
        <item x="1"/>
        <item x="37"/>
        <item x="182"/>
        <item x="12"/>
        <item x="25"/>
        <item x="100"/>
        <item x="14"/>
        <item x="157"/>
        <item x="71"/>
        <item t="default"/>
      </items>
    </pivotField>
    <pivotField showAll="0">
      <items count="3">
        <item x="1"/>
        <item x="0"/>
        <item t="default"/>
      </items>
    </pivotField>
    <pivotField showAll="0"/>
    <pivotField showAll="0">
      <items count="6">
        <item x="4"/>
        <item x="2"/>
        <item x="0"/>
        <item x="3"/>
        <item x="1"/>
        <item t="default"/>
      </items>
    </pivotField>
    <pivotField showAll="0">
      <items count="7">
        <item x="0"/>
        <item x="3"/>
        <item x="4"/>
        <item x="5"/>
        <item x="1"/>
        <item x="2"/>
        <item t="default"/>
      </items>
    </pivotField>
    <pivotField showAll="0"/>
    <pivotField showAll="0"/>
    <pivotField showAll="0"/>
    <pivotField showAll="0"/>
    <pivotField showAll="0"/>
    <pivotField dataField="1" numFmtId="2" showAll="0"/>
    <pivotField showAll="0"/>
    <pivotField showAll="0"/>
  </pivotFields>
  <rowFields count="1">
    <field x="1"/>
  </rowFields>
  <rowItems count="6">
    <i>
      <x v="50"/>
    </i>
    <i>
      <x v="94"/>
    </i>
    <i>
      <x v="150"/>
    </i>
    <i>
      <x v="151"/>
    </i>
    <i>
      <x v="187"/>
    </i>
    <i t="grand">
      <x/>
    </i>
  </rowItems>
  <colItems count="1">
    <i/>
  </colItems>
  <dataFields count="1">
    <dataField name="Sum of Average score" fld="11" baseField="0" baseItem="0" numFmtId="2"/>
  </dataFields>
  <formats count="30">
    <format dxfId="92">
      <pivotArea type="all" dataOnly="0" outline="0" fieldPosition="0"/>
    </format>
    <format dxfId="91">
      <pivotArea outline="0" collapsedLevelsAreSubtotals="1" fieldPosition="0"/>
    </format>
    <format dxfId="90">
      <pivotArea field="1" type="button" dataOnly="0" labelOnly="1" outline="0" axis="axisRow" fieldPosition="0"/>
    </format>
    <format dxfId="89">
      <pivotArea dataOnly="0" labelOnly="1" fieldPosition="0">
        <references count="1">
          <reference field="1" count="5">
            <x v="50"/>
            <x v="94"/>
            <x v="150"/>
            <x v="151"/>
            <x v="187"/>
          </reference>
        </references>
      </pivotArea>
    </format>
    <format dxfId="88">
      <pivotArea dataOnly="0" labelOnly="1" grandRow="1" outline="0" fieldPosition="0"/>
    </format>
    <format dxfId="87">
      <pivotArea dataOnly="0" labelOnly="1" outline="0" axis="axisValues" fieldPosition="0"/>
    </format>
    <format dxfId="86">
      <pivotArea type="all" dataOnly="0" outline="0" fieldPosition="0"/>
    </format>
    <format dxfId="85">
      <pivotArea outline="0" collapsedLevelsAreSubtotals="1" fieldPosition="0"/>
    </format>
    <format dxfId="84">
      <pivotArea field="1" type="button" dataOnly="0" labelOnly="1" outline="0" axis="axisRow" fieldPosition="0"/>
    </format>
    <format dxfId="83">
      <pivotArea dataOnly="0" labelOnly="1" fieldPosition="0">
        <references count="1">
          <reference field="1" count="5">
            <x v="50"/>
            <x v="94"/>
            <x v="150"/>
            <x v="151"/>
            <x v="187"/>
          </reference>
        </references>
      </pivotArea>
    </format>
    <format dxfId="82">
      <pivotArea dataOnly="0" labelOnly="1" grandRow="1" outline="0" fieldPosition="0"/>
    </format>
    <format dxfId="81">
      <pivotArea dataOnly="0" labelOnly="1" outline="0" axis="axisValues" fieldPosition="0"/>
    </format>
    <format dxfId="80">
      <pivotArea type="all" dataOnly="0" outline="0" fieldPosition="0"/>
    </format>
    <format dxfId="79">
      <pivotArea outline="0" collapsedLevelsAreSubtotals="1" fieldPosition="0"/>
    </format>
    <format dxfId="78">
      <pivotArea field="1" type="button" dataOnly="0" labelOnly="1" outline="0" axis="axisRow" fieldPosition="0"/>
    </format>
    <format dxfId="77">
      <pivotArea dataOnly="0" labelOnly="1" fieldPosition="0">
        <references count="1">
          <reference field="1" count="5">
            <x v="50"/>
            <x v="94"/>
            <x v="150"/>
            <x v="151"/>
            <x v="187"/>
          </reference>
        </references>
      </pivotArea>
    </format>
    <format dxfId="76">
      <pivotArea dataOnly="0" labelOnly="1" grandRow="1" outline="0" fieldPosition="0"/>
    </format>
    <format dxfId="75">
      <pivotArea dataOnly="0" labelOnly="1" outline="0" axis="axisValues" fieldPosition="0"/>
    </format>
    <format dxfId="74">
      <pivotArea type="all" dataOnly="0" outline="0" fieldPosition="0"/>
    </format>
    <format dxfId="73">
      <pivotArea outline="0" collapsedLevelsAreSubtotals="1" fieldPosition="0"/>
    </format>
    <format dxfId="72">
      <pivotArea field="1" type="button" dataOnly="0" labelOnly="1" outline="0" axis="axisRow" fieldPosition="0"/>
    </format>
    <format dxfId="71">
      <pivotArea dataOnly="0" labelOnly="1" fieldPosition="0">
        <references count="1">
          <reference field="1" count="5">
            <x v="50"/>
            <x v="94"/>
            <x v="150"/>
            <x v="151"/>
            <x v="187"/>
          </reference>
        </references>
      </pivotArea>
    </format>
    <format dxfId="70">
      <pivotArea dataOnly="0" labelOnly="1" grandRow="1" outline="0" fieldPosition="0"/>
    </format>
    <format dxfId="69">
      <pivotArea dataOnly="0" labelOnly="1" outline="0" axis="axisValues" fieldPosition="0"/>
    </format>
    <format dxfId="68">
      <pivotArea type="all" dataOnly="0" outline="0" fieldPosition="0"/>
    </format>
    <format dxfId="67">
      <pivotArea outline="0" collapsedLevelsAreSubtotals="1" fieldPosition="0"/>
    </format>
    <format dxfId="66">
      <pivotArea field="1" type="button" dataOnly="0" labelOnly="1" outline="0" axis="axisRow" fieldPosition="0"/>
    </format>
    <format dxfId="65">
      <pivotArea dataOnly="0" labelOnly="1" fieldPosition="0">
        <references count="1">
          <reference field="1" count="5">
            <x v="50"/>
            <x v="94"/>
            <x v="150"/>
            <x v="151"/>
            <x v="187"/>
          </reference>
        </references>
      </pivotArea>
    </format>
    <format dxfId="64">
      <pivotArea dataOnly="0" labelOnly="1" grandRow="1" outline="0" fieldPosition="0"/>
    </format>
    <format dxfId="63">
      <pivotArea dataOnly="0" labelOnly="1" outline="0" axis="axisValues" fieldPosition="0"/>
    </format>
  </formats>
  <pivotTableStyleInfo name="PivotStyleLight16"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7CE2D2-A492-43A2-90D8-21E53BB2FD1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3:H20" firstHeaderRow="1" firstDataRow="2" firstDataCol="1"/>
  <pivotFields count="14">
    <pivotField showAll="0"/>
    <pivotField showAll="0"/>
    <pivotField axis="axisCol" showAll="0">
      <items count="3">
        <item x="1"/>
        <item x="0"/>
        <item t="default"/>
      </items>
    </pivotField>
    <pivotField showAll="0"/>
    <pivotField axis="axisRow" showAll="0">
      <items count="6">
        <item x="4"/>
        <item x="2"/>
        <item x="0"/>
        <item x="3"/>
        <item x="1"/>
        <item t="default"/>
      </items>
    </pivotField>
    <pivotField showAll="0">
      <items count="7">
        <item x="0"/>
        <item x="3"/>
        <item x="4"/>
        <item x="5"/>
        <item x="1"/>
        <item x="2"/>
        <item t="default"/>
      </items>
    </pivotField>
    <pivotField showAll="0"/>
    <pivotField showAll="0"/>
    <pivotField showAll="0"/>
    <pivotField showAll="0"/>
    <pivotField showAll="0"/>
    <pivotField dataField="1" numFmtId="2" showAll="0"/>
    <pivotField showAll="0"/>
    <pivotField showAll="0"/>
  </pivotFields>
  <rowFields count="1">
    <field x="4"/>
  </rowFields>
  <rowItems count="6">
    <i>
      <x/>
    </i>
    <i>
      <x v="1"/>
    </i>
    <i>
      <x v="2"/>
    </i>
    <i>
      <x v="3"/>
    </i>
    <i>
      <x v="4"/>
    </i>
    <i t="grand">
      <x/>
    </i>
  </rowItems>
  <colFields count="1">
    <field x="2"/>
  </colFields>
  <colItems count="3">
    <i>
      <x/>
    </i>
    <i>
      <x v="1"/>
    </i>
    <i t="grand">
      <x/>
    </i>
  </colItems>
  <dataFields count="1">
    <dataField name="Average of Average score" fld="11" subtotal="average" baseField="4" baseItem="0" numFmtId="2"/>
  </dataFields>
  <formats count="50">
    <format dxfId="142">
      <pivotArea type="all" dataOnly="0" outline="0" fieldPosition="0"/>
    </format>
    <format dxfId="141">
      <pivotArea outline="0" collapsedLevelsAreSubtotals="1" fieldPosition="0"/>
    </format>
    <format dxfId="140">
      <pivotArea type="origin" dataOnly="0" labelOnly="1" outline="0" fieldPosition="0"/>
    </format>
    <format dxfId="139">
      <pivotArea field="2" type="button" dataOnly="0" labelOnly="1" outline="0" axis="axisCol" fieldPosition="0"/>
    </format>
    <format dxfId="138">
      <pivotArea type="topRight" dataOnly="0" labelOnly="1" outline="0" fieldPosition="0"/>
    </format>
    <format dxfId="137">
      <pivotArea field="4" type="button" dataOnly="0" labelOnly="1" outline="0" axis="axisRow" fieldPosition="0"/>
    </format>
    <format dxfId="136">
      <pivotArea dataOnly="0" labelOnly="1" fieldPosition="0">
        <references count="1">
          <reference field="4" count="0"/>
        </references>
      </pivotArea>
    </format>
    <format dxfId="135">
      <pivotArea dataOnly="0" labelOnly="1" grandRow="1" outline="0" fieldPosition="0"/>
    </format>
    <format dxfId="134">
      <pivotArea dataOnly="0" labelOnly="1" fieldPosition="0">
        <references count="1">
          <reference field="2" count="0"/>
        </references>
      </pivotArea>
    </format>
    <format dxfId="133">
      <pivotArea dataOnly="0" labelOnly="1" grandCol="1" outline="0" fieldPosition="0"/>
    </format>
    <format dxfId="132">
      <pivotArea type="all" dataOnly="0" outline="0" fieldPosition="0"/>
    </format>
    <format dxfId="131">
      <pivotArea outline="0" collapsedLevelsAreSubtotals="1" fieldPosition="0"/>
    </format>
    <format dxfId="130">
      <pivotArea type="origin" dataOnly="0" labelOnly="1" outline="0" fieldPosition="0"/>
    </format>
    <format dxfId="129">
      <pivotArea field="2" type="button" dataOnly="0" labelOnly="1" outline="0" axis="axisCol" fieldPosition="0"/>
    </format>
    <format dxfId="128">
      <pivotArea type="topRight" dataOnly="0" labelOnly="1" outline="0" fieldPosition="0"/>
    </format>
    <format dxfId="127">
      <pivotArea field="4" type="button" dataOnly="0" labelOnly="1" outline="0" axis="axisRow" fieldPosition="0"/>
    </format>
    <format dxfId="126">
      <pivotArea dataOnly="0" labelOnly="1" fieldPosition="0">
        <references count="1">
          <reference field="4" count="0"/>
        </references>
      </pivotArea>
    </format>
    <format dxfId="125">
      <pivotArea dataOnly="0" labelOnly="1" grandRow="1" outline="0" fieldPosition="0"/>
    </format>
    <format dxfId="124">
      <pivotArea dataOnly="0" labelOnly="1" fieldPosition="0">
        <references count="1">
          <reference field="2" count="0"/>
        </references>
      </pivotArea>
    </format>
    <format dxfId="123">
      <pivotArea dataOnly="0" labelOnly="1" grandCol="1" outline="0" fieldPosition="0"/>
    </format>
    <format dxfId="122">
      <pivotArea type="all" dataOnly="0" outline="0" fieldPosition="0"/>
    </format>
    <format dxfId="121">
      <pivotArea outline="0" collapsedLevelsAreSubtotals="1" fieldPosition="0"/>
    </format>
    <format dxfId="120">
      <pivotArea type="origin" dataOnly="0" labelOnly="1" outline="0" fieldPosition="0"/>
    </format>
    <format dxfId="119">
      <pivotArea field="2" type="button" dataOnly="0" labelOnly="1" outline="0" axis="axisCol" fieldPosition="0"/>
    </format>
    <format dxfId="118">
      <pivotArea type="topRight" dataOnly="0" labelOnly="1" outline="0" fieldPosition="0"/>
    </format>
    <format dxfId="117">
      <pivotArea field="4" type="button" dataOnly="0" labelOnly="1" outline="0" axis="axisRow" fieldPosition="0"/>
    </format>
    <format dxfId="116">
      <pivotArea dataOnly="0" labelOnly="1" fieldPosition="0">
        <references count="1">
          <reference field="4" count="0"/>
        </references>
      </pivotArea>
    </format>
    <format dxfId="115">
      <pivotArea dataOnly="0" labelOnly="1" grandRow="1" outline="0" fieldPosition="0"/>
    </format>
    <format dxfId="114">
      <pivotArea dataOnly="0" labelOnly="1" fieldPosition="0">
        <references count="1">
          <reference field="2" count="0"/>
        </references>
      </pivotArea>
    </format>
    <format dxfId="113">
      <pivotArea dataOnly="0" labelOnly="1" grandCol="1" outline="0" fieldPosition="0"/>
    </format>
    <format dxfId="112">
      <pivotArea type="all" dataOnly="0" outline="0" fieldPosition="0"/>
    </format>
    <format dxfId="111">
      <pivotArea outline="0" collapsedLevelsAreSubtotals="1" fieldPosition="0"/>
    </format>
    <format dxfId="110">
      <pivotArea type="origin" dataOnly="0" labelOnly="1" outline="0" fieldPosition="0"/>
    </format>
    <format dxfId="109">
      <pivotArea field="2" type="button" dataOnly="0" labelOnly="1" outline="0" axis="axisCol" fieldPosition="0"/>
    </format>
    <format dxfId="108">
      <pivotArea type="topRight" dataOnly="0" labelOnly="1" outline="0" fieldPosition="0"/>
    </format>
    <format dxfId="107">
      <pivotArea field="4" type="button" dataOnly="0" labelOnly="1" outline="0" axis="axisRow" fieldPosition="0"/>
    </format>
    <format dxfId="106">
      <pivotArea dataOnly="0" labelOnly="1" fieldPosition="0">
        <references count="1">
          <reference field="4" count="0"/>
        </references>
      </pivotArea>
    </format>
    <format dxfId="105">
      <pivotArea dataOnly="0" labelOnly="1" grandRow="1" outline="0" fieldPosition="0"/>
    </format>
    <format dxfId="104">
      <pivotArea dataOnly="0" labelOnly="1" fieldPosition="0">
        <references count="1">
          <reference field="2" count="0"/>
        </references>
      </pivotArea>
    </format>
    <format dxfId="103">
      <pivotArea dataOnly="0" labelOnly="1" grandCol="1" outline="0" fieldPosition="0"/>
    </format>
    <format dxfId="102">
      <pivotArea type="all" dataOnly="0" outline="0" fieldPosition="0"/>
    </format>
    <format dxfId="101">
      <pivotArea outline="0" collapsedLevelsAreSubtotals="1" fieldPosition="0"/>
    </format>
    <format dxfId="100">
      <pivotArea type="origin" dataOnly="0" labelOnly="1" outline="0" fieldPosition="0"/>
    </format>
    <format dxfId="99">
      <pivotArea field="2" type="button" dataOnly="0" labelOnly="1" outline="0" axis="axisCol" fieldPosition="0"/>
    </format>
    <format dxfId="98">
      <pivotArea type="topRight" dataOnly="0" labelOnly="1" outline="0" fieldPosition="0"/>
    </format>
    <format dxfId="97">
      <pivotArea field="4" type="button" dataOnly="0" labelOnly="1" outline="0" axis="axisRow" fieldPosition="0"/>
    </format>
    <format dxfId="96">
      <pivotArea dataOnly="0" labelOnly="1" fieldPosition="0">
        <references count="1">
          <reference field="4" count="0"/>
        </references>
      </pivotArea>
    </format>
    <format dxfId="95">
      <pivotArea dataOnly="0" labelOnly="1" grandRow="1" outline="0" fieldPosition="0"/>
    </format>
    <format dxfId="94">
      <pivotArea dataOnly="0" labelOnly="1" fieldPosition="0">
        <references count="1">
          <reference field="2" count="0"/>
        </references>
      </pivotArea>
    </format>
    <format dxfId="9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E5E057-CDA8-45BD-A156-F9D36AC2E2E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2:F9" firstHeaderRow="1" firstDataRow="1" firstDataCol="1"/>
  <pivotFields count="14">
    <pivotField showAll="0"/>
    <pivotField showAll="0"/>
    <pivotField showAll="0">
      <items count="3">
        <item x="1"/>
        <item x="0"/>
        <item t="default"/>
      </items>
    </pivotField>
    <pivotField showAll="0"/>
    <pivotField showAll="0">
      <items count="6">
        <item x="4"/>
        <item x="2"/>
        <item x="0"/>
        <item x="3"/>
        <item x="1"/>
        <item t="default"/>
      </items>
    </pivotField>
    <pivotField axis="axisRow" showAll="0">
      <items count="7">
        <item x="0"/>
        <item x="3"/>
        <item x="4"/>
        <item x="5"/>
        <item x="1"/>
        <item x="2"/>
        <item t="default"/>
      </items>
    </pivotField>
    <pivotField showAll="0"/>
    <pivotField showAll="0"/>
    <pivotField showAll="0"/>
    <pivotField showAll="0"/>
    <pivotField showAll="0"/>
    <pivotField dataField="1" numFmtId="2" showAll="0"/>
    <pivotField showAll="0"/>
    <pivotField showAll="0"/>
  </pivotFields>
  <rowFields count="1">
    <field x="5"/>
  </rowFields>
  <rowItems count="7">
    <i>
      <x/>
    </i>
    <i>
      <x v="1"/>
    </i>
    <i>
      <x v="2"/>
    </i>
    <i>
      <x v="3"/>
    </i>
    <i>
      <x v="4"/>
    </i>
    <i>
      <x v="5"/>
    </i>
    <i t="grand">
      <x/>
    </i>
  </rowItems>
  <colItems count="1">
    <i/>
  </colItems>
  <dataFields count="1">
    <dataField name="Average of Average score" fld="11" subtotal="average" baseField="5" baseItem="0" numFmtId="2"/>
  </dataFields>
  <formats count="30">
    <format dxfId="172">
      <pivotArea type="all" dataOnly="0" outline="0" fieldPosition="0"/>
    </format>
    <format dxfId="171">
      <pivotArea outline="0" collapsedLevelsAreSubtotals="1" fieldPosition="0"/>
    </format>
    <format dxfId="170">
      <pivotArea field="5" type="button" dataOnly="0" labelOnly="1" outline="0" axis="axisRow" fieldPosition="0"/>
    </format>
    <format dxfId="169">
      <pivotArea dataOnly="0" labelOnly="1" fieldPosition="0">
        <references count="1">
          <reference field="5" count="0"/>
        </references>
      </pivotArea>
    </format>
    <format dxfId="168">
      <pivotArea dataOnly="0" labelOnly="1" grandRow="1" outline="0" fieldPosition="0"/>
    </format>
    <format dxfId="167">
      <pivotArea dataOnly="0" labelOnly="1" outline="0" axis="axisValues" fieldPosition="0"/>
    </format>
    <format dxfId="166">
      <pivotArea type="all" dataOnly="0" outline="0" fieldPosition="0"/>
    </format>
    <format dxfId="165">
      <pivotArea outline="0" collapsedLevelsAreSubtotals="1" fieldPosition="0"/>
    </format>
    <format dxfId="164">
      <pivotArea field="5" type="button" dataOnly="0" labelOnly="1" outline="0" axis="axisRow" fieldPosition="0"/>
    </format>
    <format dxfId="163">
      <pivotArea dataOnly="0" labelOnly="1" fieldPosition="0">
        <references count="1">
          <reference field="5" count="0"/>
        </references>
      </pivotArea>
    </format>
    <format dxfId="162">
      <pivotArea dataOnly="0" labelOnly="1" grandRow="1" outline="0" fieldPosition="0"/>
    </format>
    <format dxfId="161">
      <pivotArea dataOnly="0" labelOnly="1" outline="0" axis="axisValues" fieldPosition="0"/>
    </format>
    <format dxfId="160">
      <pivotArea type="all" dataOnly="0" outline="0" fieldPosition="0"/>
    </format>
    <format dxfId="159">
      <pivotArea outline="0" collapsedLevelsAreSubtotals="1" fieldPosition="0"/>
    </format>
    <format dxfId="158">
      <pivotArea field="5" type="button" dataOnly="0" labelOnly="1" outline="0" axis="axisRow" fieldPosition="0"/>
    </format>
    <format dxfId="157">
      <pivotArea dataOnly="0" labelOnly="1" fieldPosition="0">
        <references count="1">
          <reference field="5" count="0"/>
        </references>
      </pivotArea>
    </format>
    <format dxfId="156">
      <pivotArea dataOnly="0" labelOnly="1" grandRow="1" outline="0" fieldPosition="0"/>
    </format>
    <format dxfId="155">
      <pivotArea dataOnly="0" labelOnly="1" outline="0" axis="axisValues" fieldPosition="0"/>
    </format>
    <format dxfId="154">
      <pivotArea type="all" dataOnly="0" outline="0" fieldPosition="0"/>
    </format>
    <format dxfId="153">
      <pivotArea outline="0" collapsedLevelsAreSubtotals="1" fieldPosition="0"/>
    </format>
    <format dxfId="152">
      <pivotArea field="5" type="button" dataOnly="0" labelOnly="1" outline="0" axis="axisRow" fieldPosition="0"/>
    </format>
    <format dxfId="151">
      <pivotArea dataOnly="0" labelOnly="1" fieldPosition="0">
        <references count="1">
          <reference field="5" count="0"/>
        </references>
      </pivotArea>
    </format>
    <format dxfId="150">
      <pivotArea dataOnly="0" labelOnly="1" grandRow="1" outline="0" fieldPosition="0"/>
    </format>
    <format dxfId="149">
      <pivotArea dataOnly="0" labelOnly="1" outline="0" axis="axisValues" fieldPosition="0"/>
    </format>
    <format dxfId="148">
      <pivotArea type="all" dataOnly="0" outline="0" fieldPosition="0"/>
    </format>
    <format dxfId="147">
      <pivotArea outline="0" collapsedLevelsAreSubtotals="1" fieldPosition="0"/>
    </format>
    <format dxfId="146">
      <pivotArea field="5" type="button" dataOnly="0" labelOnly="1" outline="0" axis="axisRow" fieldPosition="0"/>
    </format>
    <format dxfId="145">
      <pivotArea dataOnly="0" labelOnly="1" fieldPosition="0">
        <references count="1">
          <reference field="5" count="0"/>
        </references>
      </pivotArea>
    </format>
    <format dxfId="144">
      <pivotArea dataOnly="0" labelOnly="1" grandRow="1" outline="0" fieldPosition="0"/>
    </format>
    <format dxfId="143">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322240-F34B-4200-9971-4DD2E4A5F59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7:E14" firstHeaderRow="1" firstDataRow="2" firstDataCol="1"/>
  <pivotFields count="14">
    <pivotField dataField="1" showAll="0"/>
    <pivotField showAll="0"/>
    <pivotField showAll="0"/>
    <pivotField showAll="0"/>
    <pivotField axis="axisRow" showAll="0">
      <items count="6">
        <item x="4"/>
        <item x="2"/>
        <item x="0"/>
        <item x="3"/>
        <item x="1"/>
        <item t="default"/>
      </items>
    </pivotField>
    <pivotField showAll="0">
      <items count="7">
        <item x="0"/>
        <item x="3"/>
        <item x="4"/>
        <item x="5"/>
        <item x="1"/>
        <item x="2"/>
        <item t="default"/>
      </items>
    </pivotField>
    <pivotField showAll="0"/>
    <pivotField showAll="0"/>
    <pivotField showAll="0"/>
    <pivotField showAll="0"/>
    <pivotField showAll="0"/>
    <pivotField numFmtId="2" showAll="0"/>
    <pivotField showAll="0"/>
    <pivotField axis="axisCol" showAll="0">
      <items count="4">
        <item x="1"/>
        <item x="2"/>
        <item x="0"/>
        <item t="default"/>
      </items>
    </pivotField>
  </pivotFields>
  <rowFields count="1">
    <field x="4"/>
  </rowFields>
  <rowItems count="6">
    <i>
      <x/>
    </i>
    <i>
      <x v="1"/>
    </i>
    <i>
      <x v="2"/>
    </i>
    <i>
      <x v="3"/>
    </i>
    <i>
      <x v="4"/>
    </i>
    <i t="grand">
      <x/>
    </i>
  </rowItems>
  <colFields count="1">
    <field x="13"/>
  </colFields>
  <colItems count="4">
    <i>
      <x/>
    </i>
    <i>
      <x v="1"/>
    </i>
    <i>
      <x v="2"/>
    </i>
    <i t="grand">
      <x/>
    </i>
  </colItems>
  <dataFields count="1">
    <dataField name="Count of Student ID" fld="0" subtotal="count" baseField="0" baseItem="0"/>
  </dataFields>
  <formats count="110">
    <format dxfId="282">
      <pivotArea type="all" dataOnly="0" outline="0" fieldPosition="0"/>
    </format>
    <format dxfId="281">
      <pivotArea outline="0" collapsedLevelsAreSubtotals="1" fieldPosition="0"/>
    </format>
    <format dxfId="280">
      <pivotArea type="origin" dataOnly="0" labelOnly="1" outline="0" fieldPosition="0"/>
    </format>
    <format dxfId="279">
      <pivotArea field="13" type="button" dataOnly="0" labelOnly="1" outline="0" axis="axisCol" fieldPosition="0"/>
    </format>
    <format dxfId="278">
      <pivotArea type="topRight" dataOnly="0" labelOnly="1" outline="0" fieldPosition="0"/>
    </format>
    <format dxfId="277">
      <pivotArea field="4" type="button" dataOnly="0" labelOnly="1" outline="0" axis="axisRow" fieldPosition="0"/>
    </format>
    <format dxfId="276">
      <pivotArea dataOnly="0" labelOnly="1" fieldPosition="0">
        <references count="1">
          <reference field="4" count="0"/>
        </references>
      </pivotArea>
    </format>
    <format dxfId="275">
      <pivotArea dataOnly="0" labelOnly="1" grandRow="1" outline="0" fieldPosition="0"/>
    </format>
    <format dxfId="274">
      <pivotArea dataOnly="0" labelOnly="1" fieldPosition="0">
        <references count="1">
          <reference field="13" count="0"/>
        </references>
      </pivotArea>
    </format>
    <format dxfId="273">
      <pivotArea dataOnly="0" labelOnly="1" grandCol="1" outline="0" fieldPosition="0"/>
    </format>
    <format dxfId="272">
      <pivotArea type="all" dataOnly="0" outline="0" fieldPosition="0"/>
    </format>
    <format dxfId="271">
      <pivotArea outline="0" collapsedLevelsAreSubtotals="1" fieldPosition="0"/>
    </format>
    <format dxfId="270">
      <pivotArea type="origin" dataOnly="0" labelOnly="1" outline="0" fieldPosition="0"/>
    </format>
    <format dxfId="269">
      <pivotArea field="13" type="button" dataOnly="0" labelOnly="1" outline="0" axis="axisCol" fieldPosition="0"/>
    </format>
    <format dxfId="268">
      <pivotArea type="topRight" dataOnly="0" labelOnly="1" outline="0" fieldPosition="0"/>
    </format>
    <format dxfId="267">
      <pivotArea field="4" type="button" dataOnly="0" labelOnly="1" outline="0" axis="axisRow" fieldPosition="0"/>
    </format>
    <format dxfId="266">
      <pivotArea dataOnly="0" labelOnly="1" fieldPosition="0">
        <references count="1">
          <reference field="4" count="0"/>
        </references>
      </pivotArea>
    </format>
    <format dxfId="265">
      <pivotArea dataOnly="0" labelOnly="1" grandRow="1" outline="0" fieldPosition="0"/>
    </format>
    <format dxfId="264">
      <pivotArea dataOnly="0" labelOnly="1" fieldPosition="0">
        <references count="1">
          <reference field="13" count="0"/>
        </references>
      </pivotArea>
    </format>
    <format dxfId="263">
      <pivotArea dataOnly="0" labelOnly="1" grandCol="1" outline="0" fieldPosition="0"/>
    </format>
    <format dxfId="262">
      <pivotArea type="all" dataOnly="0" outline="0" fieldPosition="0"/>
    </format>
    <format dxfId="261">
      <pivotArea outline="0" collapsedLevelsAreSubtotals="1" fieldPosition="0"/>
    </format>
    <format dxfId="260">
      <pivotArea type="origin" dataOnly="0" labelOnly="1" outline="0" fieldPosition="0"/>
    </format>
    <format dxfId="259">
      <pivotArea field="13" type="button" dataOnly="0" labelOnly="1" outline="0" axis="axisCol" fieldPosition="0"/>
    </format>
    <format dxfId="258">
      <pivotArea type="topRight" dataOnly="0" labelOnly="1" outline="0" fieldPosition="0"/>
    </format>
    <format dxfId="257">
      <pivotArea field="4" type="button" dataOnly="0" labelOnly="1" outline="0" axis="axisRow" fieldPosition="0"/>
    </format>
    <format dxfId="256">
      <pivotArea dataOnly="0" labelOnly="1" fieldPosition="0">
        <references count="1">
          <reference field="4" count="0"/>
        </references>
      </pivotArea>
    </format>
    <format dxfId="255">
      <pivotArea dataOnly="0" labelOnly="1" grandRow="1" outline="0" fieldPosition="0"/>
    </format>
    <format dxfId="254">
      <pivotArea dataOnly="0" labelOnly="1" fieldPosition="0">
        <references count="1">
          <reference field="13" count="0"/>
        </references>
      </pivotArea>
    </format>
    <format dxfId="253">
      <pivotArea dataOnly="0" labelOnly="1" grandCol="1" outline="0" fieldPosition="0"/>
    </format>
    <format dxfId="252">
      <pivotArea type="all" dataOnly="0" outline="0" fieldPosition="0"/>
    </format>
    <format dxfId="251">
      <pivotArea outline="0" collapsedLevelsAreSubtotals="1" fieldPosition="0"/>
    </format>
    <format dxfId="250">
      <pivotArea type="origin" dataOnly="0" labelOnly="1" outline="0" fieldPosition="0"/>
    </format>
    <format dxfId="249">
      <pivotArea field="13" type="button" dataOnly="0" labelOnly="1" outline="0" axis="axisCol" fieldPosition="0"/>
    </format>
    <format dxfId="248">
      <pivotArea type="topRight" dataOnly="0" labelOnly="1" outline="0" fieldPosition="0"/>
    </format>
    <format dxfId="247">
      <pivotArea field="4" type="button" dataOnly="0" labelOnly="1" outline="0" axis="axisRow" fieldPosition="0"/>
    </format>
    <format dxfId="246">
      <pivotArea dataOnly="0" labelOnly="1" fieldPosition="0">
        <references count="1">
          <reference field="4" count="0"/>
        </references>
      </pivotArea>
    </format>
    <format dxfId="245">
      <pivotArea dataOnly="0" labelOnly="1" grandRow="1" outline="0" fieldPosition="0"/>
    </format>
    <format dxfId="244">
      <pivotArea dataOnly="0" labelOnly="1" fieldPosition="0">
        <references count="1">
          <reference field="13" count="0"/>
        </references>
      </pivotArea>
    </format>
    <format dxfId="243">
      <pivotArea dataOnly="0" labelOnly="1" grandCol="1" outline="0" fieldPosition="0"/>
    </format>
    <format dxfId="242">
      <pivotArea type="all" dataOnly="0" outline="0" fieldPosition="0"/>
    </format>
    <format dxfId="241">
      <pivotArea outline="0" collapsedLevelsAreSubtotals="1" fieldPosition="0"/>
    </format>
    <format dxfId="240">
      <pivotArea type="origin" dataOnly="0" labelOnly="1" outline="0" fieldPosition="0"/>
    </format>
    <format dxfId="239">
      <pivotArea field="13" type="button" dataOnly="0" labelOnly="1" outline="0" axis="axisCol" fieldPosition="0"/>
    </format>
    <format dxfId="238">
      <pivotArea type="topRight" dataOnly="0" labelOnly="1" outline="0" fieldPosition="0"/>
    </format>
    <format dxfId="237">
      <pivotArea field="4" type="button" dataOnly="0" labelOnly="1" outline="0" axis="axisRow" fieldPosition="0"/>
    </format>
    <format dxfId="236">
      <pivotArea dataOnly="0" labelOnly="1" fieldPosition="0">
        <references count="1">
          <reference field="4" count="0"/>
        </references>
      </pivotArea>
    </format>
    <format dxfId="235">
      <pivotArea dataOnly="0" labelOnly="1" grandRow="1" outline="0" fieldPosition="0"/>
    </format>
    <format dxfId="234">
      <pivotArea dataOnly="0" labelOnly="1" fieldPosition="0">
        <references count="1">
          <reference field="13" count="0"/>
        </references>
      </pivotArea>
    </format>
    <format dxfId="233">
      <pivotArea dataOnly="0" labelOnly="1" grandCol="1" outline="0" fieldPosition="0"/>
    </format>
    <format dxfId="232">
      <pivotArea type="all" dataOnly="0" outline="0" fieldPosition="0"/>
    </format>
    <format dxfId="231">
      <pivotArea outline="0" collapsedLevelsAreSubtotals="1" fieldPosition="0"/>
    </format>
    <format dxfId="230">
      <pivotArea type="origin" dataOnly="0" labelOnly="1" outline="0" fieldPosition="0"/>
    </format>
    <format dxfId="229">
      <pivotArea field="13" type="button" dataOnly="0" labelOnly="1" outline="0" axis="axisCol" fieldPosition="0"/>
    </format>
    <format dxfId="228">
      <pivotArea type="topRight" dataOnly="0" labelOnly="1" outline="0" fieldPosition="0"/>
    </format>
    <format dxfId="227">
      <pivotArea field="4" type="button" dataOnly="0" labelOnly="1" outline="0" axis="axisRow" fieldPosition="0"/>
    </format>
    <format dxfId="226">
      <pivotArea dataOnly="0" labelOnly="1" fieldPosition="0">
        <references count="1">
          <reference field="4" count="0"/>
        </references>
      </pivotArea>
    </format>
    <format dxfId="225">
      <pivotArea dataOnly="0" labelOnly="1" grandRow="1" outline="0" fieldPosition="0"/>
    </format>
    <format dxfId="224">
      <pivotArea dataOnly="0" labelOnly="1" fieldPosition="0">
        <references count="1">
          <reference field="13" count="0"/>
        </references>
      </pivotArea>
    </format>
    <format dxfId="223">
      <pivotArea dataOnly="0" labelOnly="1" grandCol="1" outline="0" fieldPosition="0"/>
    </format>
    <format dxfId="222">
      <pivotArea type="all" dataOnly="0" outline="0" fieldPosition="0"/>
    </format>
    <format dxfId="221">
      <pivotArea outline="0" collapsedLevelsAreSubtotals="1" fieldPosition="0"/>
    </format>
    <format dxfId="220">
      <pivotArea type="origin" dataOnly="0" labelOnly="1" outline="0" fieldPosition="0"/>
    </format>
    <format dxfId="219">
      <pivotArea field="13" type="button" dataOnly="0" labelOnly="1" outline="0" axis="axisCol" fieldPosition="0"/>
    </format>
    <format dxfId="218">
      <pivotArea type="topRight" dataOnly="0" labelOnly="1" outline="0" fieldPosition="0"/>
    </format>
    <format dxfId="217">
      <pivotArea field="4" type="button" dataOnly="0" labelOnly="1" outline="0" axis="axisRow" fieldPosition="0"/>
    </format>
    <format dxfId="216">
      <pivotArea dataOnly="0" labelOnly="1" fieldPosition="0">
        <references count="1">
          <reference field="4" count="0"/>
        </references>
      </pivotArea>
    </format>
    <format dxfId="215">
      <pivotArea dataOnly="0" labelOnly="1" grandRow="1" outline="0" fieldPosition="0"/>
    </format>
    <format dxfId="214">
      <pivotArea dataOnly="0" labelOnly="1" fieldPosition="0">
        <references count="1">
          <reference field="13" count="0"/>
        </references>
      </pivotArea>
    </format>
    <format dxfId="213">
      <pivotArea dataOnly="0" labelOnly="1" grandCol="1" outline="0" fieldPosition="0"/>
    </format>
    <format dxfId="212">
      <pivotArea type="all" dataOnly="0" outline="0" fieldPosition="0"/>
    </format>
    <format dxfId="211">
      <pivotArea outline="0" collapsedLevelsAreSubtotals="1" fieldPosition="0"/>
    </format>
    <format dxfId="210">
      <pivotArea type="origin" dataOnly="0" labelOnly="1" outline="0" fieldPosition="0"/>
    </format>
    <format dxfId="209">
      <pivotArea field="13" type="button" dataOnly="0" labelOnly="1" outline="0" axis="axisCol" fieldPosition="0"/>
    </format>
    <format dxfId="208">
      <pivotArea type="topRight" dataOnly="0" labelOnly="1" outline="0" fieldPosition="0"/>
    </format>
    <format dxfId="207">
      <pivotArea field="4" type="button" dataOnly="0" labelOnly="1" outline="0" axis="axisRow" fieldPosition="0"/>
    </format>
    <format dxfId="206">
      <pivotArea dataOnly="0" labelOnly="1" fieldPosition="0">
        <references count="1">
          <reference field="4" count="0"/>
        </references>
      </pivotArea>
    </format>
    <format dxfId="205">
      <pivotArea dataOnly="0" labelOnly="1" grandRow="1" outline="0" fieldPosition="0"/>
    </format>
    <format dxfId="204">
      <pivotArea dataOnly="0" labelOnly="1" fieldPosition="0">
        <references count="1">
          <reference field="13" count="0"/>
        </references>
      </pivotArea>
    </format>
    <format dxfId="203">
      <pivotArea dataOnly="0" labelOnly="1" grandCol="1" outline="0" fieldPosition="0"/>
    </format>
    <format dxfId="202">
      <pivotArea type="all" dataOnly="0" outline="0" fieldPosition="0"/>
    </format>
    <format dxfId="201">
      <pivotArea outline="0" collapsedLevelsAreSubtotals="1" fieldPosition="0"/>
    </format>
    <format dxfId="200">
      <pivotArea type="origin" dataOnly="0" labelOnly="1" outline="0" fieldPosition="0"/>
    </format>
    <format dxfId="199">
      <pivotArea field="13" type="button" dataOnly="0" labelOnly="1" outline="0" axis="axisCol" fieldPosition="0"/>
    </format>
    <format dxfId="198">
      <pivotArea type="topRight" dataOnly="0" labelOnly="1" outline="0" fieldPosition="0"/>
    </format>
    <format dxfId="197">
      <pivotArea field="4" type="button" dataOnly="0" labelOnly="1" outline="0" axis="axisRow" fieldPosition="0"/>
    </format>
    <format dxfId="196">
      <pivotArea dataOnly="0" labelOnly="1" fieldPosition="0">
        <references count="1">
          <reference field="4" count="0"/>
        </references>
      </pivotArea>
    </format>
    <format dxfId="195">
      <pivotArea dataOnly="0" labelOnly="1" grandRow="1" outline="0" fieldPosition="0"/>
    </format>
    <format dxfId="194">
      <pivotArea dataOnly="0" labelOnly="1" fieldPosition="0">
        <references count="1">
          <reference field="13" count="0"/>
        </references>
      </pivotArea>
    </format>
    <format dxfId="193">
      <pivotArea dataOnly="0" labelOnly="1" grandCol="1" outline="0" fieldPosition="0"/>
    </format>
    <format dxfId="192">
      <pivotArea type="all" dataOnly="0" outline="0" fieldPosition="0"/>
    </format>
    <format dxfId="191">
      <pivotArea outline="0" collapsedLevelsAreSubtotals="1" fieldPosition="0"/>
    </format>
    <format dxfId="190">
      <pivotArea type="origin" dataOnly="0" labelOnly="1" outline="0" fieldPosition="0"/>
    </format>
    <format dxfId="189">
      <pivotArea field="13" type="button" dataOnly="0" labelOnly="1" outline="0" axis="axisCol" fieldPosition="0"/>
    </format>
    <format dxfId="188">
      <pivotArea type="topRight" dataOnly="0" labelOnly="1" outline="0" fieldPosition="0"/>
    </format>
    <format dxfId="187">
      <pivotArea field="4" type="button" dataOnly="0" labelOnly="1" outline="0" axis="axisRow" fieldPosition="0"/>
    </format>
    <format dxfId="186">
      <pivotArea dataOnly="0" labelOnly="1" fieldPosition="0">
        <references count="1">
          <reference field="4" count="0"/>
        </references>
      </pivotArea>
    </format>
    <format dxfId="185">
      <pivotArea dataOnly="0" labelOnly="1" grandRow="1" outline="0" fieldPosition="0"/>
    </format>
    <format dxfId="184">
      <pivotArea dataOnly="0" labelOnly="1" fieldPosition="0">
        <references count="1">
          <reference field="13" count="0"/>
        </references>
      </pivotArea>
    </format>
    <format dxfId="183">
      <pivotArea dataOnly="0" labelOnly="1" grandCol="1" outline="0" fieldPosition="0"/>
    </format>
    <format dxfId="182">
      <pivotArea type="all" dataOnly="0" outline="0" fieldPosition="0"/>
    </format>
    <format dxfId="181">
      <pivotArea outline="0" collapsedLevelsAreSubtotals="1" fieldPosition="0"/>
    </format>
    <format dxfId="180">
      <pivotArea type="origin" dataOnly="0" labelOnly="1" outline="0" fieldPosition="0"/>
    </format>
    <format dxfId="179">
      <pivotArea field="13" type="button" dataOnly="0" labelOnly="1" outline="0" axis="axisCol" fieldPosition="0"/>
    </format>
    <format dxfId="178">
      <pivotArea type="topRight" dataOnly="0" labelOnly="1" outline="0" fieldPosition="0"/>
    </format>
    <format dxfId="177">
      <pivotArea field="4" type="button" dataOnly="0" labelOnly="1" outline="0" axis="axisRow" fieldPosition="0"/>
    </format>
    <format dxfId="176">
      <pivotArea dataOnly="0" labelOnly="1" fieldPosition="0">
        <references count="1">
          <reference field="4" count="0"/>
        </references>
      </pivotArea>
    </format>
    <format dxfId="175">
      <pivotArea dataOnly="0" labelOnly="1" grandRow="1" outline="0" fieldPosition="0"/>
    </format>
    <format dxfId="174">
      <pivotArea dataOnly="0" labelOnly="1" fieldPosition="0">
        <references count="1">
          <reference field="13" count="0"/>
        </references>
      </pivotArea>
    </format>
    <format dxfId="173">
      <pivotArea dataOnly="0" labelOnly="1" grandCol="1" outline="0" fieldPosition="0"/>
    </format>
  </formats>
  <chartFormats count="27">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2"/>
          </reference>
        </references>
      </pivotArea>
    </chartFormat>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6" format="2" series="1">
      <pivotArea type="data" outline="0" fieldPosition="0">
        <references count="2">
          <reference field="4294967294" count="1" selected="0">
            <x v="0"/>
          </reference>
          <reference field="13" count="1" selected="0">
            <x v="2"/>
          </reference>
        </references>
      </pivotArea>
    </chartFormat>
    <chartFormat chart="9" format="3" series="1">
      <pivotArea type="data" outline="0" fieldPosition="0">
        <references count="2">
          <reference field="4294967294" count="1" selected="0">
            <x v="0"/>
          </reference>
          <reference field="13" count="1" selected="0">
            <x v="0"/>
          </reference>
        </references>
      </pivotArea>
    </chartFormat>
    <chartFormat chart="9" format="4" series="1">
      <pivotArea type="data" outline="0" fieldPosition="0">
        <references count="2">
          <reference field="4294967294" count="1" selected="0">
            <x v="0"/>
          </reference>
          <reference field="13" count="1" selected="0">
            <x v="1"/>
          </reference>
        </references>
      </pivotArea>
    </chartFormat>
    <chartFormat chart="9" format="5" series="1">
      <pivotArea type="data" outline="0" fieldPosition="0">
        <references count="2">
          <reference field="4294967294" count="1" selected="0">
            <x v="0"/>
          </reference>
          <reference field="13" count="1" selected="0">
            <x v="2"/>
          </reference>
        </references>
      </pivotArea>
    </chartFormat>
    <chartFormat chart="10" format="6" series="1">
      <pivotArea type="data" outline="0" fieldPosition="0">
        <references count="2">
          <reference field="4294967294" count="1" selected="0">
            <x v="0"/>
          </reference>
          <reference field="13" count="1" selected="0">
            <x v="0"/>
          </reference>
        </references>
      </pivotArea>
    </chartFormat>
    <chartFormat chart="10" format="7" series="1">
      <pivotArea type="data" outline="0" fieldPosition="0">
        <references count="2">
          <reference field="4294967294" count="1" selected="0">
            <x v="0"/>
          </reference>
          <reference field="13" count="1" selected="0">
            <x v="1"/>
          </reference>
        </references>
      </pivotArea>
    </chartFormat>
    <chartFormat chart="10" format="8" series="1">
      <pivotArea type="data" outline="0" fieldPosition="0">
        <references count="2">
          <reference field="4294967294" count="1" selected="0">
            <x v="0"/>
          </reference>
          <reference field="13" count="1" selected="0">
            <x v="2"/>
          </reference>
        </references>
      </pivotArea>
    </chartFormat>
    <chartFormat chart="13" format="3" series="1">
      <pivotArea type="data" outline="0" fieldPosition="0">
        <references count="2">
          <reference field="4294967294" count="1" selected="0">
            <x v="0"/>
          </reference>
          <reference field="13" count="1" selected="0">
            <x v="0"/>
          </reference>
        </references>
      </pivotArea>
    </chartFormat>
    <chartFormat chart="13" format="4" series="1">
      <pivotArea type="data" outline="0" fieldPosition="0">
        <references count="2">
          <reference field="4294967294" count="1" selected="0">
            <x v="0"/>
          </reference>
          <reference field="13" count="1" selected="0">
            <x v="1"/>
          </reference>
        </references>
      </pivotArea>
    </chartFormat>
    <chartFormat chart="13" format="5" series="1">
      <pivotArea type="data" outline="0" fieldPosition="0">
        <references count="2">
          <reference field="4294967294" count="1" selected="0">
            <x v="0"/>
          </reference>
          <reference field="13" count="1" selected="0">
            <x v="2"/>
          </reference>
        </references>
      </pivotArea>
    </chartFormat>
    <chartFormat chart="14" format="6" series="1">
      <pivotArea type="data" outline="0" fieldPosition="0">
        <references count="2">
          <reference field="4294967294" count="1" selected="0">
            <x v="0"/>
          </reference>
          <reference field="13" count="1" selected="0">
            <x v="0"/>
          </reference>
        </references>
      </pivotArea>
    </chartFormat>
    <chartFormat chart="14" format="7" series="1">
      <pivotArea type="data" outline="0" fieldPosition="0">
        <references count="2">
          <reference field="4294967294" count="1" selected="0">
            <x v="0"/>
          </reference>
          <reference field="13" count="1" selected="0">
            <x v="1"/>
          </reference>
        </references>
      </pivotArea>
    </chartFormat>
    <chartFormat chart="14" format="8" series="1">
      <pivotArea type="data" outline="0" fieldPosition="0">
        <references count="2">
          <reference field="4294967294" count="1" selected="0">
            <x v="0"/>
          </reference>
          <reference field="13" count="1" selected="0">
            <x v="2"/>
          </reference>
        </references>
      </pivotArea>
    </chartFormat>
    <chartFormat chart="19" format="3" series="1">
      <pivotArea type="data" outline="0" fieldPosition="0">
        <references count="2">
          <reference field="4294967294" count="1" selected="0">
            <x v="0"/>
          </reference>
          <reference field="13" count="1" selected="0">
            <x v="0"/>
          </reference>
        </references>
      </pivotArea>
    </chartFormat>
    <chartFormat chart="19" format="4" series="1">
      <pivotArea type="data" outline="0" fieldPosition="0">
        <references count="2">
          <reference field="4294967294" count="1" selected="0">
            <x v="0"/>
          </reference>
          <reference field="13" count="1" selected="0">
            <x v="1"/>
          </reference>
        </references>
      </pivotArea>
    </chartFormat>
    <chartFormat chart="19" format="5" series="1">
      <pivotArea type="data" outline="0" fieldPosition="0">
        <references count="2">
          <reference field="4294967294" count="1" selected="0">
            <x v="0"/>
          </reference>
          <reference field="13" count="1" selected="0">
            <x v="2"/>
          </reference>
        </references>
      </pivotArea>
    </chartFormat>
    <chartFormat chart="20" format="6" series="1">
      <pivotArea type="data" outline="0" fieldPosition="0">
        <references count="2">
          <reference field="4294967294" count="1" selected="0">
            <x v="0"/>
          </reference>
          <reference field="13" count="1" selected="0">
            <x v="0"/>
          </reference>
        </references>
      </pivotArea>
    </chartFormat>
    <chartFormat chart="20" format="7" series="1">
      <pivotArea type="data" outline="0" fieldPosition="0">
        <references count="2">
          <reference field="4294967294" count="1" selected="0">
            <x v="0"/>
          </reference>
          <reference field="13" count="1" selected="0">
            <x v="1"/>
          </reference>
        </references>
      </pivotArea>
    </chartFormat>
    <chartFormat chart="20" format="8" series="1">
      <pivotArea type="data" outline="0" fieldPosition="0">
        <references count="2">
          <reference field="4294967294" count="1" selected="0">
            <x v="0"/>
          </reference>
          <reference field="13" count="1" selected="0">
            <x v="2"/>
          </reference>
        </references>
      </pivotArea>
    </chartFormat>
    <chartFormat chart="21" format="6" series="1">
      <pivotArea type="data" outline="0" fieldPosition="0">
        <references count="2">
          <reference field="4294967294" count="1" selected="0">
            <x v="0"/>
          </reference>
          <reference field="13" count="1" selected="0">
            <x v="0"/>
          </reference>
        </references>
      </pivotArea>
    </chartFormat>
    <chartFormat chart="21" format="7" series="1">
      <pivotArea type="data" outline="0" fieldPosition="0">
        <references count="2">
          <reference field="4294967294" count="1" selected="0">
            <x v="0"/>
          </reference>
          <reference field="13" count="1" selected="0">
            <x v="1"/>
          </reference>
        </references>
      </pivotArea>
    </chartFormat>
    <chartFormat chart="21"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9768B1-1F7D-48E7-B2DC-ABB33545703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5" firstHeaderRow="1" firstDataRow="1" firstDataCol="1"/>
  <pivotFields count="14">
    <pivotField dataField="1" showAll="0"/>
    <pivotField showAll="0"/>
    <pivotField showAll="0"/>
    <pivotField showAll="0"/>
    <pivotField showAll="0">
      <items count="6">
        <item x="4"/>
        <item x="2"/>
        <item x="0"/>
        <item x="3"/>
        <item x="1"/>
        <item t="default"/>
      </items>
    </pivotField>
    <pivotField showAll="0">
      <items count="7">
        <item x="0"/>
        <item x="3"/>
        <item x="4"/>
        <item x="5"/>
        <item x="1"/>
        <item x="2"/>
        <item t="default"/>
      </items>
    </pivotField>
    <pivotField showAll="0"/>
    <pivotField showAll="0"/>
    <pivotField showAll="0"/>
    <pivotField showAll="0"/>
    <pivotField showAll="0"/>
    <pivotField numFmtId="2" showAll="0"/>
    <pivotField showAll="0"/>
    <pivotField axis="axisRow" showAll="0">
      <items count="4">
        <item x="1"/>
        <item x="2"/>
        <item x="0"/>
        <item t="default"/>
      </items>
    </pivotField>
  </pivotFields>
  <rowFields count="1">
    <field x="13"/>
  </rowFields>
  <rowItems count="4">
    <i>
      <x/>
    </i>
    <i>
      <x v="1"/>
    </i>
    <i>
      <x v="2"/>
    </i>
    <i t="grand">
      <x/>
    </i>
  </rowItems>
  <colItems count="1">
    <i/>
  </colItems>
  <dataFields count="1">
    <dataField name="Count of Student ID" fld="0" subtotal="count" baseField="0" baseItem="0"/>
  </dataFields>
  <formats count="61">
    <format dxfId="343">
      <pivotArea type="all" dataOnly="0" outline="0" fieldPosition="0"/>
    </format>
    <format dxfId="342">
      <pivotArea outline="0" collapsedLevelsAreSubtotals="1" fieldPosition="0"/>
    </format>
    <format dxfId="341">
      <pivotArea field="13" type="button" dataOnly="0" labelOnly="1" outline="0" axis="axisRow" fieldPosition="0"/>
    </format>
    <format dxfId="340">
      <pivotArea dataOnly="0" labelOnly="1" fieldPosition="0">
        <references count="1">
          <reference field="13" count="0"/>
        </references>
      </pivotArea>
    </format>
    <format dxfId="339">
      <pivotArea dataOnly="0" labelOnly="1" grandRow="1" outline="0" fieldPosition="0"/>
    </format>
    <format dxfId="338">
      <pivotArea dataOnly="0" labelOnly="1" outline="0" axis="axisValues" fieldPosition="0"/>
    </format>
    <format dxfId="337">
      <pivotArea type="all" dataOnly="0" outline="0" fieldPosition="0"/>
    </format>
    <format dxfId="336">
      <pivotArea outline="0" collapsedLevelsAreSubtotals="1" fieldPosition="0"/>
    </format>
    <format dxfId="335">
      <pivotArea field="13" type="button" dataOnly="0" labelOnly="1" outline="0" axis="axisRow" fieldPosition="0"/>
    </format>
    <format dxfId="334">
      <pivotArea dataOnly="0" labelOnly="1" fieldPosition="0">
        <references count="1">
          <reference field="13" count="0"/>
        </references>
      </pivotArea>
    </format>
    <format dxfId="333">
      <pivotArea dataOnly="0" labelOnly="1" grandRow="1" outline="0" fieldPosition="0"/>
    </format>
    <format dxfId="332">
      <pivotArea dataOnly="0" labelOnly="1" outline="0" axis="axisValues" fieldPosition="0"/>
    </format>
    <format dxfId="331">
      <pivotArea type="all" dataOnly="0" outline="0" fieldPosition="0"/>
    </format>
    <format dxfId="330">
      <pivotArea outline="0" collapsedLevelsAreSubtotals="1" fieldPosition="0"/>
    </format>
    <format dxfId="329">
      <pivotArea field="13" type="button" dataOnly="0" labelOnly="1" outline="0" axis="axisRow" fieldPosition="0"/>
    </format>
    <format dxfId="328">
      <pivotArea dataOnly="0" labelOnly="1" fieldPosition="0">
        <references count="1">
          <reference field="13" count="0"/>
        </references>
      </pivotArea>
    </format>
    <format dxfId="327">
      <pivotArea dataOnly="0" labelOnly="1" grandRow="1" outline="0" fieldPosition="0"/>
    </format>
    <format dxfId="326">
      <pivotArea dataOnly="0" labelOnly="1" outline="0" axis="axisValues" fieldPosition="0"/>
    </format>
    <format dxfId="325">
      <pivotArea type="all" dataOnly="0" outline="0" fieldPosition="0"/>
    </format>
    <format dxfId="324">
      <pivotArea outline="0" collapsedLevelsAreSubtotals="1" fieldPosition="0"/>
    </format>
    <format dxfId="323">
      <pivotArea field="13" type="button" dataOnly="0" labelOnly="1" outline="0" axis="axisRow" fieldPosition="0"/>
    </format>
    <format dxfId="322">
      <pivotArea dataOnly="0" labelOnly="1" fieldPosition="0">
        <references count="1">
          <reference field="13" count="0"/>
        </references>
      </pivotArea>
    </format>
    <format dxfId="321">
      <pivotArea dataOnly="0" labelOnly="1" grandRow="1" outline="0" fieldPosition="0"/>
    </format>
    <format dxfId="320">
      <pivotArea dataOnly="0" labelOnly="1" outline="0" axis="axisValues" fieldPosition="0"/>
    </format>
    <format dxfId="319">
      <pivotArea type="all" dataOnly="0" outline="0" fieldPosition="0"/>
    </format>
    <format dxfId="318">
      <pivotArea outline="0" collapsedLevelsAreSubtotals="1" fieldPosition="0"/>
    </format>
    <format dxfId="317">
      <pivotArea field="13" type="button" dataOnly="0" labelOnly="1" outline="0" axis="axisRow" fieldPosition="0"/>
    </format>
    <format dxfId="316">
      <pivotArea dataOnly="0" labelOnly="1" fieldPosition="0">
        <references count="1">
          <reference field="13" count="0"/>
        </references>
      </pivotArea>
    </format>
    <format dxfId="315">
      <pivotArea dataOnly="0" labelOnly="1" grandRow="1" outline="0" fieldPosition="0"/>
    </format>
    <format dxfId="314">
      <pivotArea dataOnly="0" labelOnly="1" outline="0" axis="axisValues" fieldPosition="0"/>
    </format>
    <format dxfId="313">
      <pivotArea type="all" dataOnly="0" outline="0" fieldPosition="0"/>
    </format>
    <format dxfId="312">
      <pivotArea outline="0" collapsedLevelsAreSubtotals="1" fieldPosition="0"/>
    </format>
    <format dxfId="311">
      <pivotArea field="13" type="button" dataOnly="0" labelOnly="1" outline="0" axis="axisRow" fieldPosition="0"/>
    </format>
    <format dxfId="310">
      <pivotArea dataOnly="0" labelOnly="1" fieldPosition="0">
        <references count="1">
          <reference field="13" count="0"/>
        </references>
      </pivotArea>
    </format>
    <format dxfId="309">
      <pivotArea dataOnly="0" labelOnly="1" grandRow="1" outline="0" fieldPosition="0"/>
    </format>
    <format dxfId="308">
      <pivotArea dataOnly="0" labelOnly="1" outline="0" axis="axisValues" fieldPosition="0"/>
    </format>
    <format dxfId="307">
      <pivotArea type="all" dataOnly="0" outline="0" fieldPosition="0"/>
    </format>
    <format dxfId="306">
      <pivotArea outline="0" collapsedLevelsAreSubtotals="1" fieldPosition="0"/>
    </format>
    <format dxfId="305">
      <pivotArea field="13" type="button" dataOnly="0" labelOnly="1" outline="0" axis="axisRow" fieldPosition="0"/>
    </format>
    <format dxfId="304">
      <pivotArea dataOnly="0" labelOnly="1" fieldPosition="0">
        <references count="1">
          <reference field="13" count="0"/>
        </references>
      </pivotArea>
    </format>
    <format dxfId="303">
      <pivotArea dataOnly="0" labelOnly="1" grandRow="1" outline="0" fieldPosition="0"/>
    </format>
    <format dxfId="302">
      <pivotArea dataOnly="0" labelOnly="1" outline="0" axis="axisValues" fieldPosition="0"/>
    </format>
    <format dxfId="301">
      <pivotArea type="all" dataOnly="0" outline="0" fieldPosition="0"/>
    </format>
    <format dxfId="300">
      <pivotArea outline="0" collapsedLevelsAreSubtotals="1" fieldPosition="0"/>
    </format>
    <format dxfId="299">
      <pivotArea field="13" type="button" dataOnly="0" labelOnly="1" outline="0" axis="axisRow" fieldPosition="0"/>
    </format>
    <format dxfId="298">
      <pivotArea dataOnly="0" labelOnly="1" fieldPosition="0">
        <references count="1">
          <reference field="13" count="0"/>
        </references>
      </pivotArea>
    </format>
    <format dxfId="297">
      <pivotArea dataOnly="0" labelOnly="1" grandRow="1" outline="0" fieldPosition="0"/>
    </format>
    <format dxfId="296">
      <pivotArea dataOnly="0" labelOnly="1" outline="0" axis="axisValues" fieldPosition="0"/>
    </format>
    <format dxfId="295">
      <pivotArea field="13" type="button" dataOnly="0" labelOnly="1" outline="0" axis="axisRow" fieldPosition="0"/>
    </format>
    <format dxfId="294">
      <pivotArea type="all" dataOnly="0" outline="0" fieldPosition="0"/>
    </format>
    <format dxfId="293">
      <pivotArea outline="0" collapsedLevelsAreSubtotals="1" fieldPosition="0"/>
    </format>
    <format dxfId="292">
      <pivotArea field="13" type="button" dataOnly="0" labelOnly="1" outline="0" axis="axisRow" fieldPosition="0"/>
    </format>
    <format dxfId="291">
      <pivotArea dataOnly="0" labelOnly="1" fieldPosition="0">
        <references count="1">
          <reference field="13" count="0"/>
        </references>
      </pivotArea>
    </format>
    <format dxfId="290">
      <pivotArea dataOnly="0" labelOnly="1" grandRow="1" outline="0" fieldPosition="0"/>
    </format>
    <format dxfId="289">
      <pivotArea dataOnly="0" labelOnly="1" outline="0" axis="axisValues" fieldPosition="0"/>
    </format>
    <format dxfId="288">
      <pivotArea type="all" dataOnly="0" outline="0" fieldPosition="0"/>
    </format>
    <format dxfId="287">
      <pivotArea outline="0" collapsedLevelsAreSubtotals="1" fieldPosition="0"/>
    </format>
    <format dxfId="286">
      <pivotArea field="13" type="button" dataOnly="0" labelOnly="1" outline="0" axis="axisRow" fieldPosition="0"/>
    </format>
    <format dxfId="285">
      <pivotArea dataOnly="0" labelOnly="1" fieldPosition="0">
        <references count="1">
          <reference field="13" count="0"/>
        </references>
      </pivotArea>
    </format>
    <format dxfId="284">
      <pivotArea dataOnly="0" labelOnly="1" grandRow="1" outline="0" fieldPosition="0"/>
    </format>
    <format dxfId="283">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2"/>
          </reference>
        </references>
      </pivotArea>
    </chartFormat>
    <chartFormat chart="0" format="2">
      <pivotArea type="data" outline="0" fieldPosition="0">
        <references count="2">
          <reference field="4294967294" count="1" selected="0">
            <x v="0"/>
          </reference>
          <reference field="13" count="1" selected="0">
            <x v="0"/>
          </reference>
        </references>
      </pivotArea>
    </chartFormat>
    <chartFormat chart="0" format="3">
      <pivotArea type="data" outline="0" fieldPosition="0">
        <references count="2">
          <reference field="4294967294" count="1" selected="0">
            <x v="0"/>
          </reference>
          <reference field="13" count="1" selected="0">
            <x v="1"/>
          </reference>
        </references>
      </pivotArea>
    </chartFormat>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13" count="1" selected="0">
            <x v="0"/>
          </reference>
        </references>
      </pivotArea>
    </chartFormat>
    <chartFormat chart="1" format="6">
      <pivotArea type="data" outline="0" fieldPosition="0">
        <references count="2">
          <reference field="4294967294" count="1" selected="0">
            <x v="0"/>
          </reference>
          <reference field="13" count="1" selected="0">
            <x v="1"/>
          </reference>
        </references>
      </pivotArea>
    </chartFormat>
    <chartFormat chart="1" format="7">
      <pivotArea type="data" outline="0" fieldPosition="0">
        <references count="2">
          <reference field="4294967294" count="1" selected="0">
            <x v="0"/>
          </reference>
          <reference field="13"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3" count="1" selected="0">
            <x v="0"/>
          </reference>
        </references>
      </pivotArea>
    </chartFormat>
    <chartFormat chart="2" format="10">
      <pivotArea type="data" outline="0" fieldPosition="0">
        <references count="2">
          <reference field="4294967294" count="1" selected="0">
            <x v="0"/>
          </reference>
          <reference field="13" count="1" selected="0">
            <x v="1"/>
          </reference>
        </references>
      </pivotArea>
    </chartFormat>
    <chartFormat chart="2" format="11">
      <pivotArea type="data" outline="0" fieldPosition="0">
        <references count="2">
          <reference field="4294967294" count="1" selected="0">
            <x v="0"/>
          </reference>
          <reference field="13"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3" count="1" selected="0">
            <x v="0"/>
          </reference>
        </references>
      </pivotArea>
    </chartFormat>
    <chartFormat chart="3" format="10">
      <pivotArea type="data" outline="0" fieldPosition="0">
        <references count="2">
          <reference field="4294967294" count="1" selected="0">
            <x v="0"/>
          </reference>
          <reference field="13" count="1" selected="0">
            <x v="1"/>
          </reference>
        </references>
      </pivotArea>
    </chartFormat>
    <chartFormat chart="3" format="1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EBD77A8-CBFA-425C-9837-6315ACB638CB}" sourceName="Gender">
  <pivotTables>
    <pivotTable tabId="2" name="PivotTable1"/>
    <pivotTable tabId="2" name="PivotTable3"/>
    <pivotTable tabId="2" name="PivotTable4"/>
    <pivotTable tabId="2" name="PivotTable5"/>
    <pivotTable tabId="2" name="PivotTable6"/>
  </pivotTables>
  <data>
    <tabular pivotCacheId="34932043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 xr10:uid="{2F5C1003-7A00-421C-8FD2-723602221638}" sourceName="Course">
  <pivotTables>
    <pivotTable tabId="2" name="PivotTable1"/>
    <pivotTable tabId="2" name="PivotTable3"/>
    <pivotTable tabId="2" name="PivotTable4"/>
    <pivotTable tabId="2" name="PivotTable5"/>
    <pivotTable tabId="2" name="PivotTable6"/>
  </pivotTables>
  <data>
    <tabular pivotCacheId="349320437">
      <items count="5">
        <i x="4" s="1"/>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mester1" xr10:uid="{F0F4ACCF-34E6-424D-B1AC-A0BF3D57ADED}" sourceName="Semester">
  <pivotTables>
    <pivotTable tabId="5" name="PivotTable5"/>
    <pivotTable tabId="2" name="PivotTable6"/>
    <pivotTable tabId="2" name="PivotTable5"/>
    <pivotTable tabId="2" name="PivotTable4"/>
    <pivotTable tabId="2" name="PivotTable3"/>
    <pivotTable tabId="2" name="PivotTable1"/>
    <pivotTable tabId="5" name="PivotTable4"/>
  </pivotTables>
  <data>
    <tabular pivotCacheId="349320437">
      <items count="6">
        <i x="0" s="1"/>
        <i x="3" s="1"/>
        <i x="4" s="1"/>
        <i x="5"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3FA9AAC-658F-41BA-8CA0-FC9367E682B2}" cache="Slicer_Gender" caption="Gender" style="Slicer Style 1" rowHeight="234950"/>
  <slicer name="Course" xr10:uid="{10550929-3FF8-4C12-8E12-27F88A59E908}" cache="Slicer_Course" caption="Course" style="Slicer Style 1" rowHeight="234950"/>
  <slicer name="Semester" xr10:uid="{15652AE3-6668-42BA-BCC9-2B721FC55736}" cache="Slicer_Semester1" caption="Semester"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mester 2" xr10:uid="{622CCC51-E063-495E-8CBE-8A6AF270ADB7}" cache="Slicer_Semester1" caption="Semester" style="Slicer Style 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9E96E-FD6E-46A4-B329-734425192FE1}">
  <dimension ref="A1:N601"/>
  <sheetViews>
    <sheetView workbookViewId="0">
      <selection activeCell="N3" sqref="N3"/>
    </sheetView>
  </sheetViews>
  <sheetFormatPr defaultRowHeight="14.4" x14ac:dyDescent="0.3"/>
  <cols>
    <col min="1" max="1" width="11.6640625" customWidth="1"/>
    <col min="2" max="2" width="18.5546875" customWidth="1"/>
    <col min="7" max="7" width="23.77734375" customWidth="1"/>
    <col min="8" max="8" width="14.5546875" customWidth="1"/>
    <col min="9" max="9" width="13.5546875" customWidth="1"/>
    <col min="10" max="10" width="21.88671875" customWidth="1"/>
    <col min="12" max="12" width="13.5546875" customWidth="1"/>
    <col min="14" max="14" width="10.77734375" customWidth="1"/>
  </cols>
  <sheetData>
    <row r="1" spans="1:14" x14ac:dyDescent="0.3">
      <c r="A1" s="3" t="s">
        <v>0</v>
      </c>
      <c r="B1" s="3" t="s">
        <v>1</v>
      </c>
      <c r="C1" s="3" t="s">
        <v>2</v>
      </c>
      <c r="D1" s="3" t="s">
        <v>3</v>
      </c>
      <c r="E1" s="3" t="s">
        <v>4</v>
      </c>
      <c r="F1" s="3" t="s">
        <v>5</v>
      </c>
      <c r="G1" s="3" t="s">
        <v>6</v>
      </c>
      <c r="H1" s="3" t="s">
        <v>7</v>
      </c>
      <c r="I1" s="3" t="s">
        <v>8</v>
      </c>
      <c r="J1" s="3" t="s">
        <v>9</v>
      </c>
      <c r="K1" s="3" t="s">
        <v>10</v>
      </c>
      <c r="L1" s="3" t="s">
        <v>11</v>
      </c>
      <c r="M1" s="3" t="s">
        <v>12</v>
      </c>
      <c r="N1" s="3" t="s">
        <v>13</v>
      </c>
    </row>
    <row r="2" spans="1:14" x14ac:dyDescent="0.3">
      <c r="A2" s="2" t="s">
        <v>14</v>
      </c>
      <c r="B2" s="2" t="s">
        <v>15</v>
      </c>
      <c r="C2" s="2" t="s">
        <v>16</v>
      </c>
      <c r="D2" s="2">
        <v>23</v>
      </c>
      <c r="E2" s="2" t="s">
        <v>17</v>
      </c>
      <c r="F2" s="2">
        <v>1</v>
      </c>
      <c r="G2" s="2">
        <v>46</v>
      </c>
      <c r="H2" s="2">
        <v>98</v>
      </c>
      <c r="I2" s="2">
        <v>100</v>
      </c>
      <c r="J2" s="2">
        <v>81.69</v>
      </c>
      <c r="K2" s="2" t="s">
        <v>18</v>
      </c>
      <c r="L2" s="1">
        <f>AVERAGE(G2:I2)</f>
        <v>81.333333333333329</v>
      </c>
      <c r="M2" s="2" t="str">
        <f>IF(OR(G2&lt;40, H2&lt;40, I2&lt;40), "Fail", "Pass")</f>
        <v>Pass</v>
      </c>
      <c r="N2" s="2" t="str">
        <f t="shared" ref="N2:N65" si="0">_xlfn.IFS(M2="Fail", "High Risk", L2&lt;60, "Monitor", TRUE, "Stable")</f>
        <v>Stable</v>
      </c>
    </row>
    <row r="3" spans="1:14" x14ac:dyDescent="0.3">
      <c r="A3" s="2" t="s">
        <v>19</v>
      </c>
      <c r="B3" s="2" t="s">
        <v>20</v>
      </c>
      <c r="C3" s="2" t="s">
        <v>21</v>
      </c>
      <c r="D3" s="2">
        <v>21</v>
      </c>
      <c r="E3" s="2" t="s">
        <v>17</v>
      </c>
      <c r="F3" s="2">
        <v>5</v>
      </c>
      <c r="G3" s="2">
        <v>39</v>
      </c>
      <c r="H3" s="2">
        <v>55</v>
      </c>
      <c r="I3" s="2">
        <v>87</v>
      </c>
      <c r="J3" s="2">
        <v>63.37</v>
      </c>
      <c r="K3" s="2" t="s">
        <v>22</v>
      </c>
      <c r="L3" s="1">
        <f>AVERAGE(G3:I3)</f>
        <v>60.333333333333336</v>
      </c>
      <c r="M3" s="2" t="str">
        <f>IF(OR(G3&lt;40, H3&lt;40, I3&lt;40), "Fail", "Pass")</f>
        <v>Fail</v>
      </c>
      <c r="N3" s="2" t="str">
        <f t="shared" si="0"/>
        <v>High Risk</v>
      </c>
    </row>
    <row r="4" spans="1:14" x14ac:dyDescent="0.3">
      <c r="A4" s="2" t="s">
        <v>23</v>
      </c>
      <c r="B4" s="2" t="s">
        <v>24</v>
      </c>
      <c r="C4" s="2" t="s">
        <v>21</v>
      </c>
      <c r="D4" s="2">
        <v>21</v>
      </c>
      <c r="E4" s="2" t="s">
        <v>17</v>
      </c>
      <c r="F4" s="2">
        <v>1</v>
      </c>
      <c r="G4" s="2">
        <v>79</v>
      </c>
      <c r="H4" s="2">
        <v>59</v>
      </c>
      <c r="I4" s="2">
        <v>69</v>
      </c>
      <c r="J4" s="2">
        <v>97.38</v>
      </c>
      <c r="K4" s="2" t="s">
        <v>22</v>
      </c>
      <c r="L4" s="1">
        <f t="shared" ref="L4:L67" si="1">AVERAGE(G4:I4)</f>
        <v>69</v>
      </c>
      <c r="M4" s="2" t="str">
        <f t="shared" ref="M4:M67" si="2">IF(OR(G4&lt;40, H4&lt;40, I4&lt;40), "Fail", "Pass")</f>
        <v>Pass</v>
      </c>
      <c r="N4" s="2" t="str">
        <f t="shared" si="0"/>
        <v>Stable</v>
      </c>
    </row>
    <row r="5" spans="1:14" x14ac:dyDescent="0.3">
      <c r="A5" s="2" t="s">
        <v>25</v>
      </c>
      <c r="B5" s="2" t="s">
        <v>26</v>
      </c>
      <c r="C5" s="2" t="s">
        <v>16</v>
      </c>
      <c r="D5" s="2">
        <v>22</v>
      </c>
      <c r="E5" s="2" t="s">
        <v>27</v>
      </c>
      <c r="F5" s="2">
        <v>6</v>
      </c>
      <c r="G5" s="2">
        <v>86</v>
      </c>
      <c r="H5" s="2">
        <v>94</v>
      </c>
      <c r="I5" s="2">
        <v>55</v>
      </c>
      <c r="J5" s="2">
        <v>99.91</v>
      </c>
      <c r="K5" s="2" t="s">
        <v>28</v>
      </c>
      <c r="L5" s="1">
        <f t="shared" si="1"/>
        <v>78.333333333333329</v>
      </c>
      <c r="M5" s="2" t="str">
        <f t="shared" si="2"/>
        <v>Pass</v>
      </c>
      <c r="N5" s="2" t="str">
        <f t="shared" si="0"/>
        <v>Stable</v>
      </c>
    </row>
    <row r="6" spans="1:14" x14ac:dyDescent="0.3">
      <c r="A6" s="2" t="s">
        <v>29</v>
      </c>
      <c r="B6" s="2" t="s">
        <v>30</v>
      </c>
      <c r="C6" s="2" t="s">
        <v>21</v>
      </c>
      <c r="D6" s="2">
        <v>21</v>
      </c>
      <c r="E6" s="2" t="s">
        <v>27</v>
      </c>
      <c r="F6" s="2">
        <v>5</v>
      </c>
      <c r="G6" s="2">
        <v>41</v>
      </c>
      <c r="H6" s="2">
        <v>47</v>
      </c>
      <c r="I6" s="2">
        <v>87</v>
      </c>
      <c r="J6" s="2">
        <v>85.78</v>
      </c>
      <c r="K6" s="2" t="s">
        <v>31</v>
      </c>
      <c r="L6" s="1">
        <f t="shared" si="1"/>
        <v>58.333333333333336</v>
      </c>
      <c r="M6" s="2" t="str">
        <f t="shared" si="2"/>
        <v>Pass</v>
      </c>
      <c r="N6" s="2" t="str">
        <f t="shared" si="0"/>
        <v>Monitor</v>
      </c>
    </row>
    <row r="7" spans="1:14" x14ac:dyDescent="0.3">
      <c r="A7" s="2" t="s">
        <v>32</v>
      </c>
      <c r="B7" s="2" t="s">
        <v>33</v>
      </c>
      <c r="C7" s="2" t="s">
        <v>21</v>
      </c>
      <c r="D7" s="2">
        <v>22</v>
      </c>
      <c r="E7" s="2" t="s">
        <v>34</v>
      </c>
      <c r="F7" s="2">
        <v>5</v>
      </c>
      <c r="G7" s="2">
        <v>90</v>
      </c>
      <c r="H7" s="2">
        <v>68</v>
      </c>
      <c r="I7" s="2">
        <v>77</v>
      </c>
      <c r="J7" s="2">
        <v>63.02</v>
      </c>
      <c r="K7" s="2" t="s">
        <v>28</v>
      </c>
      <c r="L7" s="1">
        <f t="shared" si="1"/>
        <v>78.333333333333329</v>
      </c>
      <c r="M7" s="2" t="str">
        <f t="shared" si="2"/>
        <v>Pass</v>
      </c>
      <c r="N7" s="2" t="str">
        <f t="shared" si="0"/>
        <v>Stable</v>
      </c>
    </row>
    <row r="8" spans="1:14" x14ac:dyDescent="0.3">
      <c r="A8" s="2" t="s">
        <v>35</v>
      </c>
      <c r="B8" s="2" t="s">
        <v>36</v>
      </c>
      <c r="C8" s="2" t="s">
        <v>21</v>
      </c>
      <c r="D8" s="2">
        <v>20</v>
      </c>
      <c r="E8" s="2" t="s">
        <v>37</v>
      </c>
      <c r="F8" s="2">
        <v>2</v>
      </c>
      <c r="G8" s="2">
        <v>59</v>
      </c>
      <c r="H8" s="2">
        <v>54</v>
      </c>
      <c r="I8" s="2">
        <v>64</v>
      </c>
      <c r="J8" s="2">
        <v>72.66</v>
      </c>
      <c r="K8" s="2" t="s">
        <v>31</v>
      </c>
      <c r="L8" s="1">
        <f t="shared" si="1"/>
        <v>59</v>
      </c>
      <c r="M8" s="2" t="str">
        <f t="shared" si="2"/>
        <v>Pass</v>
      </c>
      <c r="N8" s="2" t="str">
        <f t="shared" si="0"/>
        <v>Monitor</v>
      </c>
    </row>
    <row r="9" spans="1:14" x14ac:dyDescent="0.3">
      <c r="A9" s="2" t="s">
        <v>38</v>
      </c>
      <c r="B9" s="2" t="s">
        <v>39</v>
      </c>
      <c r="C9" s="2" t="s">
        <v>21</v>
      </c>
      <c r="D9" s="2">
        <v>21</v>
      </c>
      <c r="E9" s="2" t="s">
        <v>27</v>
      </c>
      <c r="F9" s="2">
        <v>5</v>
      </c>
      <c r="G9" s="2">
        <v>97</v>
      </c>
      <c r="H9" s="2">
        <v>35</v>
      </c>
      <c r="I9" s="2">
        <v>67</v>
      </c>
      <c r="J9" s="2">
        <v>64.33</v>
      </c>
      <c r="K9" s="2" t="s">
        <v>22</v>
      </c>
      <c r="L9" s="1">
        <f t="shared" si="1"/>
        <v>66.333333333333329</v>
      </c>
      <c r="M9" s="2" t="str">
        <f t="shared" si="2"/>
        <v>Fail</v>
      </c>
      <c r="N9" s="2" t="str">
        <f t="shared" si="0"/>
        <v>High Risk</v>
      </c>
    </row>
    <row r="10" spans="1:14" x14ac:dyDescent="0.3">
      <c r="A10" s="2" t="s">
        <v>40</v>
      </c>
      <c r="B10" s="2" t="s">
        <v>41</v>
      </c>
      <c r="C10" s="2" t="s">
        <v>21</v>
      </c>
      <c r="D10" s="2">
        <v>20</v>
      </c>
      <c r="E10" s="2" t="s">
        <v>27</v>
      </c>
      <c r="F10" s="2">
        <v>5</v>
      </c>
      <c r="G10" s="2">
        <v>39</v>
      </c>
      <c r="H10" s="2">
        <v>81</v>
      </c>
      <c r="I10" s="2">
        <v>52</v>
      </c>
      <c r="J10" s="2">
        <v>96.28</v>
      </c>
      <c r="K10" s="2" t="s">
        <v>31</v>
      </c>
      <c r="L10" s="1">
        <f t="shared" si="1"/>
        <v>57.333333333333336</v>
      </c>
      <c r="M10" s="2" t="str">
        <f t="shared" si="2"/>
        <v>Fail</v>
      </c>
      <c r="N10" s="2" t="str">
        <f t="shared" si="0"/>
        <v>High Risk</v>
      </c>
    </row>
    <row r="11" spans="1:14" x14ac:dyDescent="0.3">
      <c r="A11" s="2" t="s">
        <v>42</v>
      </c>
      <c r="B11" s="2" t="s">
        <v>43</v>
      </c>
      <c r="C11" s="2" t="s">
        <v>16</v>
      </c>
      <c r="D11" s="2">
        <v>18</v>
      </c>
      <c r="E11" s="2" t="s">
        <v>27</v>
      </c>
      <c r="F11" s="2">
        <v>3</v>
      </c>
      <c r="G11" s="2">
        <v>74</v>
      </c>
      <c r="H11" s="2">
        <v>93</v>
      </c>
      <c r="I11" s="2">
        <v>72</v>
      </c>
      <c r="J11" s="2">
        <v>81.510000000000005</v>
      </c>
      <c r="K11" s="2" t="s">
        <v>28</v>
      </c>
      <c r="L11" s="1">
        <f t="shared" si="1"/>
        <v>79.666666666666671</v>
      </c>
      <c r="M11" s="2" t="str">
        <f t="shared" si="2"/>
        <v>Pass</v>
      </c>
      <c r="N11" s="2" t="str">
        <f t="shared" si="0"/>
        <v>Stable</v>
      </c>
    </row>
    <row r="12" spans="1:14" x14ac:dyDescent="0.3">
      <c r="A12" s="2" t="s">
        <v>44</v>
      </c>
      <c r="B12" s="2" t="s">
        <v>45</v>
      </c>
      <c r="C12" s="2" t="s">
        <v>16</v>
      </c>
      <c r="D12" s="2">
        <v>18</v>
      </c>
      <c r="E12" s="2" t="s">
        <v>34</v>
      </c>
      <c r="F12" s="2">
        <v>2</v>
      </c>
      <c r="G12" s="2">
        <v>70</v>
      </c>
      <c r="H12" s="2">
        <v>58</v>
      </c>
      <c r="I12" s="2">
        <v>85</v>
      </c>
      <c r="J12" s="2">
        <v>99.73</v>
      </c>
      <c r="K12" s="2" t="s">
        <v>28</v>
      </c>
      <c r="L12" s="1">
        <f t="shared" si="1"/>
        <v>71</v>
      </c>
      <c r="M12" s="2" t="str">
        <f t="shared" si="2"/>
        <v>Pass</v>
      </c>
      <c r="N12" s="2" t="str">
        <f t="shared" si="0"/>
        <v>Stable</v>
      </c>
    </row>
    <row r="13" spans="1:14" x14ac:dyDescent="0.3">
      <c r="A13" s="2" t="s">
        <v>46</v>
      </c>
      <c r="B13" s="2" t="s">
        <v>47</v>
      </c>
      <c r="C13" s="2" t="s">
        <v>21</v>
      </c>
      <c r="D13" s="2">
        <v>18</v>
      </c>
      <c r="E13" s="2" t="s">
        <v>34</v>
      </c>
      <c r="F13" s="2">
        <v>2</v>
      </c>
      <c r="G13" s="2">
        <v>82</v>
      </c>
      <c r="H13" s="2">
        <v>38</v>
      </c>
      <c r="I13" s="2">
        <v>67</v>
      </c>
      <c r="J13" s="2">
        <v>98.12</v>
      </c>
      <c r="K13" s="2" t="s">
        <v>22</v>
      </c>
      <c r="L13" s="1">
        <f t="shared" si="1"/>
        <v>62.333333333333336</v>
      </c>
      <c r="M13" s="2" t="str">
        <f t="shared" si="2"/>
        <v>Fail</v>
      </c>
      <c r="N13" s="2" t="str">
        <f t="shared" si="0"/>
        <v>High Risk</v>
      </c>
    </row>
    <row r="14" spans="1:14" x14ac:dyDescent="0.3">
      <c r="A14" s="2" t="s">
        <v>48</v>
      </c>
      <c r="B14" s="2" t="s">
        <v>49</v>
      </c>
      <c r="C14" s="2" t="s">
        <v>21</v>
      </c>
      <c r="D14" s="2">
        <v>20</v>
      </c>
      <c r="E14" s="2" t="s">
        <v>50</v>
      </c>
      <c r="F14" s="2">
        <v>2</v>
      </c>
      <c r="G14" s="2">
        <v>62</v>
      </c>
      <c r="H14" s="2">
        <v>35</v>
      </c>
      <c r="I14" s="2">
        <v>88</v>
      </c>
      <c r="J14" s="2">
        <v>88.95</v>
      </c>
      <c r="K14" s="2" t="s">
        <v>22</v>
      </c>
      <c r="L14" s="1">
        <f t="shared" si="1"/>
        <v>61.666666666666664</v>
      </c>
      <c r="M14" s="2" t="str">
        <f t="shared" si="2"/>
        <v>Fail</v>
      </c>
      <c r="N14" s="2" t="str">
        <f t="shared" si="0"/>
        <v>High Risk</v>
      </c>
    </row>
    <row r="15" spans="1:14" x14ac:dyDescent="0.3">
      <c r="A15" s="2" t="s">
        <v>51</v>
      </c>
      <c r="B15" s="2" t="s">
        <v>52</v>
      </c>
      <c r="C15" s="2" t="s">
        <v>21</v>
      </c>
      <c r="D15" s="2">
        <v>19</v>
      </c>
      <c r="E15" s="2" t="s">
        <v>17</v>
      </c>
      <c r="F15" s="2">
        <v>4</v>
      </c>
      <c r="G15" s="2">
        <v>85</v>
      </c>
      <c r="H15" s="2">
        <v>40</v>
      </c>
      <c r="I15" s="2">
        <v>71</v>
      </c>
      <c r="J15" s="2">
        <v>66.69</v>
      </c>
      <c r="K15" s="2" t="s">
        <v>22</v>
      </c>
      <c r="L15" s="1">
        <f t="shared" si="1"/>
        <v>65.333333333333329</v>
      </c>
      <c r="M15" s="2" t="str">
        <f t="shared" si="2"/>
        <v>Pass</v>
      </c>
      <c r="N15" s="2" t="str">
        <f t="shared" si="0"/>
        <v>Stable</v>
      </c>
    </row>
    <row r="16" spans="1:14" x14ac:dyDescent="0.3">
      <c r="A16" s="2" t="s">
        <v>53</v>
      </c>
      <c r="B16" s="2" t="s">
        <v>54</v>
      </c>
      <c r="C16" s="2" t="s">
        <v>16</v>
      </c>
      <c r="D16" s="2">
        <v>23</v>
      </c>
      <c r="E16" s="2" t="s">
        <v>27</v>
      </c>
      <c r="F16" s="2">
        <v>4</v>
      </c>
      <c r="G16" s="2">
        <v>41</v>
      </c>
      <c r="H16" s="2">
        <v>44</v>
      </c>
      <c r="I16" s="2">
        <v>56</v>
      </c>
      <c r="J16" s="2">
        <v>62.59</v>
      </c>
      <c r="K16" s="2" t="s">
        <v>55</v>
      </c>
      <c r="L16" s="1">
        <f t="shared" si="1"/>
        <v>47</v>
      </c>
      <c r="M16" s="2" t="str">
        <f t="shared" si="2"/>
        <v>Pass</v>
      </c>
      <c r="N16" s="2" t="str">
        <f t="shared" si="0"/>
        <v>Monitor</v>
      </c>
    </row>
    <row r="17" spans="1:14" x14ac:dyDescent="0.3">
      <c r="A17" s="2" t="s">
        <v>56</v>
      </c>
      <c r="B17" s="2" t="s">
        <v>57</v>
      </c>
      <c r="C17" s="2" t="s">
        <v>21</v>
      </c>
      <c r="D17" s="2">
        <v>22</v>
      </c>
      <c r="E17" s="2" t="s">
        <v>34</v>
      </c>
      <c r="F17" s="2">
        <v>5</v>
      </c>
      <c r="G17" s="2">
        <v>80</v>
      </c>
      <c r="H17" s="2">
        <v>43</v>
      </c>
      <c r="I17" s="2">
        <v>82</v>
      </c>
      <c r="J17" s="2">
        <v>95.74</v>
      </c>
      <c r="K17" s="2" t="s">
        <v>22</v>
      </c>
      <c r="L17" s="1">
        <f t="shared" si="1"/>
        <v>68.333333333333329</v>
      </c>
      <c r="M17" s="2" t="str">
        <f t="shared" si="2"/>
        <v>Pass</v>
      </c>
      <c r="N17" s="2" t="str">
        <f t="shared" si="0"/>
        <v>Stable</v>
      </c>
    </row>
    <row r="18" spans="1:14" x14ac:dyDescent="0.3">
      <c r="A18" s="2" t="s">
        <v>58</v>
      </c>
      <c r="B18" s="2" t="s">
        <v>59</v>
      </c>
      <c r="C18" s="2" t="s">
        <v>16</v>
      </c>
      <c r="D18" s="2">
        <v>21</v>
      </c>
      <c r="E18" s="2" t="s">
        <v>27</v>
      </c>
      <c r="F18" s="2">
        <v>5</v>
      </c>
      <c r="G18" s="2">
        <v>93</v>
      </c>
      <c r="H18" s="2">
        <v>94</v>
      </c>
      <c r="I18" s="2">
        <v>61</v>
      </c>
      <c r="J18" s="2">
        <v>75.95</v>
      </c>
      <c r="K18" s="2" t="s">
        <v>18</v>
      </c>
      <c r="L18" s="1">
        <f t="shared" si="1"/>
        <v>82.666666666666671</v>
      </c>
      <c r="M18" s="2" t="str">
        <f t="shared" si="2"/>
        <v>Pass</v>
      </c>
      <c r="N18" s="2" t="str">
        <f t="shared" si="0"/>
        <v>Stable</v>
      </c>
    </row>
    <row r="19" spans="1:14" x14ac:dyDescent="0.3">
      <c r="A19" s="2" t="s">
        <v>60</v>
      </c>
      <c r="B19" s="2" t="s">
        <v>57</v>
      </c>
      <c r="C19" s="2" t="s">
        <v>21</v>
      </c>
      <c r="D19" s="2">
        <v>19</v>
      </c>
      <c r="E19" s="2" t="s">
        <v>37</v>
      </c>
      <c r="F19" s="2">
        <v>2</v>
      </c>
      <c r="G19" s="2">
        <v>49</v>
      </c>
      <c r="H19" s="2">
        <v>62</v>
      </c>
      <c r="I19" s="2">
        <v>99</v>
      </c>
      <c r="J19" s="2">
        <v>67.849999999999994</v>
      </c>
      <c r="K19" s="2" t="s">
        <v>28</v>
      </c>
      <c r="L19" s="1">
        <f t="shared" si="1"/>
        <v>70</v>
      </c>
      <c r="M19" s="2" t="str">
        <f t="shared" si="2"/>
        <v>Pass</v>
      </c>
      <c r="N19" s="2" t="str">
        <f t="shared" si="0"/>
        <v>Stable</v>
      </c>
    </row>
    <row r="20" spans="1:14" x14ac:dyDescent="0.3">
      <c r="A20" s="2" t="s">
        <v>61</v>
      </c>
      <c r="B20" s="2" t="s">
        <v>62</v>
      </c>
      <c r="C20" s="2" t="s">
        <v>21</v>
      </c>
      <c r="D20" s="2">
        <v>19</v>
      </c>
      <c r="E20" s="2" t="s">
        <v>34</v>
      </c>
      <c r="F20" s="2">
        <v>2</v>
      </c>
      <c r="G20" s="2">
        <v>66</v>
      </c>
      <c r="H20" s="2">
        <v>64</v>
      </c>
      <c r="I20" s="2">
        <v>48</v>
      </c>
      <c r="J20" s="2">
        <v>89.85</v>
      </c>
      <c r="K20" s="2" t="s">
        <v>31</v>
      </c>
      <c r="L20" s="1">
        <f t="shared" si="1"/>
        <v>59.333333333333336</v>
      </c>
      <c r="M20" s="2" t="str">
        <f t="shared" si="2"/>
        <v>Pass</v>
      </c>
      <c r="N20" s="2" t="str">
        <f t="shared" si="0"/>
        <v>Monitor</v>
      </c>
    </row>
    <row r="21" spans="1:14" x14ac:dyDescent="0.3">
      <c r="A21" s="2" t="s">
        <v>63</v>
      </c>
      <c r="B21" s="2" t="s">
        <v>24</v>
      </c>
      <c r="C21" s="2" t="s">
        <v>16</v>
      </c>
      <c r="D21" s="2">
        <v>21</v>
      </c>
      <c r="E21" s="2" t="s">
        <v>17</v>
      </c>
      <c r="F21" s="2">
        <v>5</v>
      </c>
      <c r="G21" s="2">
        <v>52</v>
      </c>
      <c r="H21" s="2">
        <v>72</v>
      </c>
      <c r="I21" s="2">
        <v>85</v>
      </c>
      <c r="J21" s="2">
        <v>87.33</v>
      </c>
      <c r="K21" s="2" t="s">
        <v>22</v>
      </c>
      <c r="L21" s="1">
        <f t="shared" si="1"/>
        <v>69.666666666666671</v>
      </c>
      <c r="M21" s="2" t="str">
        <f t="shared" si="2"/>
        <v>Pass</v>
      </c>
      <c r="N21" s="2" t="str">
        <f t="shared" si="0"/>
        <v>Stable</v>
      </c>
    </row>
    <row r="22" spans="1:14" x14ac:dyDescent="0.3">
      <c r="A22" s="2" t="s">
        <v>64</v>
      </c>
      <c r="B22" s="2" t="s">
        <v>54</v>
      </c>
      <c r="C22" s="2" t="s">
        <v>21</v>
      </c>
      <c r="D22" s="2">
        <v>23</v>
      </c>
      <c r="E22" s="2" t="s">
        <v>50</v>
      </c>
      <c r="F22" s="2">
        <v>3</v>
      </c>
      <c r="G22" s="2">
        <v>59</v>
      </c>
      <c r="H22" s="2">
        <v>91</v>
      </c>
      <c r="I22" s="2">
        <v>81</v>
      </c>
      <c r="J22" s="2">
        <v>80.44</v>
      </c>
      <c r="K22" s="2" t="s">
        <v>28</v>
      </c>
      <c r="L22" s="1">
        <f t="shared" si="1"/>
        <v>77</v>
      </c>
      <c r="M22" s="2" t="str">
        <f t="shared" si="2"/>
        <v>Pass</v>
      </c>
      <c r="N22" s="2" t="str">
        <f t="shared" si="0"/>
        <v>Stable</v>
      </c>
    </row>
    <row r="23" spans="1:14" x14ac:dyDescent="0.3">
      <c r="A23" s="2" t="s">
        <v>65</v>
      </c>
      <c r="B23" s="2" t="s">
        <v>66</v>
      </c>
      <c r="C23" s="2" t="s">
        <v>16</v>
      </c>
      <c r="D23" s="2">
        <v>23</v>
      </c>
      <c r="E23" s="2" t="s">
        <v>27</v>
      </c>
      <c r="F23" s="2">
        <v>6</v>
      </c>
      <c r="G23" s="2">
        <v>59</v>
      </c>
      <c r="H23" s="2">
        <v>85</v>
      </c>
      <c r="I23" s="2">
        <v>37</v>
      </c>
      <c r="J23" s="2">
        <v>72.03</v>
      </c>
      <c r="K23" s="2" t="s">
        <v>22</v>
      </c>
      <c r="L23" s="1">
        <f t="shared" si="1"/>
        <v>60.333333333333336</v>
      </c>
      <c r="M23" s="2" t="str">
        <f t="shared" si="2"/>
        <v>Fail</v>
      </c>
      <c r="N23" s="2" t="str">
        <f t="shared" si="0"/>
        <v>High Risk</v>
      </c>
    </row>
    <row r="24" spans="1:14" x14ac:dyDescent="0.3">
      <c r="A24" s="2" t="s">
        <v>67</v>
      </c>
      <c r="B24" s="2" t="s">
        <v>68</v>
      </c>
      <c r="C24" s="2" t="s">
        <v>16</v>
      </c>
      <c r="D24" s="2">
        <v>21</v>
      </c>
      <c r="E24" s="2" t="s">
        <v>50</v>
      </c>
      <c r="F24" s="2">
        <v>2</v>
      </c>
      <c r="G24" s="2">
        <v>47</v>
      </c>
      <c r="H24" s="2">
        <v>52</v>
      </c>
      <c r="I24" s="2">
        <v>65</v>
      </c>
      <c r="J24" s="2">
        <v>88.49</v>
      </c>
      <c r="K24" s="2" t="s">
        <v>31</v>
      </c>
      <c r="L24" s="1">
        <f t="shared" si="1"/>
        <v>54.666666666666664</v>
      </c>
      <c r="M24" s="2" t="str">
        <f t="shared" si="2"/>
        <v>Pass</v>
      </c>
      <c r="N24" s="2" t="str">
        <f t="shared" si="0"/>
        <v>Monitor</v>
      </c>
    </row>
    <row r="25" spans="1:14" x14ac:dyDescent="0.3">
      <c r="A25" s="2" t="s">
        <v>69</v>
      </c>
      <c r="B25" s="2" t="s">
        <v>70</v>
      </c>
      <c r="C25" s="2" t="s">
        <v>21</v>
      </c>
      <c r="D25" s="2">
        <v>19</v>
      </c>
      <c r="E25" s="2" t="s">
        <v>50</v>
      </c>
      <c r="F25" s="2">
        <v>6</v>
      </c>
      <c r="G25" s="2">
        <v>87</v>
      </c>
      <c r="H25" s="2">
        <v>71</v>
      </c>
      <c r="I25" s="2">
        <v>36</v>
      </c>
      <c r="J25" s="2">
        <v>65.42</v>
      </c>
      <c r="K25" s="2" t="s">
        <v>22</v>
      </c>
      <c r="L25" s="1">
        <f t="shared" si="1"/>
        <v>64.666666666666671</v>
      </c>
      <c r="M25" s="2" t="str">
        <f t="shared" si="2"/>
        <v>Fail</v>
      </c>
      <c r="N25" s="2" t="str">
        <f t="shared" si="0"/>
        <v>High Risk</v>
      </c>
    </row>
    <row r="26" spans="1:14" x14ac:dyDescent="0.3">
      <c r="A26" s="2" t="s">
        <v>71</v>
      </c>
      <c r="B26" s="2" t="s">
        <v>72</v>
      </c>
      <c r="C26" s="2" t="s">
        <v>16</v>
      </c>
      <c r="D26" s="2">
        <v>18</v>
      </c>
      <c r="E26" s="2" t="s">
        <v>27</v>
      </c>
      <c r="F26" s="2">
        <v>4</v>
      </c>
      <c r="G26" s="2">
        <v>80</v>
      </c>
      <c r="H26" s="2">
        <v>73</v>
      </c>
      <c r="I26" s="2">
        <v>55</v>
      </c>
      <c r="J26" s="2">
        <v>92.11</v>
      </c>
      <c r="K26" s="2" t="s">
        <v>22</v>
      </c>
      <c r="L26" s="1">
        <f t="shared" si="1"/>
        <v>69.333333333333329</v>
      </c>
      <c r="M26" s="2" t="str">
        <f t="shared" si="2"/>
        <v>Pass</v>
      </c>
      <c r="N26" s="2" t="str">
        <f t="shared" si="0"/>
        <v>Stable</v>
      </c>
    </row>
    <row r="27" spans="1:14" x14ac:dyDescent="0.3">
      <c r="A27" s="2" t="s">
        <v>73</v>
      </c>
      <c r="B27" s="2" t="s">
        <v>74</v>
      </c>
      <c r="C27" s="2" t="s">
        <v>21</v>
      </c>
      <c r="D27" s="2">
        <v>21</v>
      </c>
      <c r="E27" s="2" t="s">
        <v>50</v>
      </c>
      <c r="F27" s="2">
        <v>1</v>
      </c>
      <c r="G27" s="2">
        <v>80</v>
      </c>
      <c r="H27" s="2">
        <v>90</v>
      </c>
      <c r="I27" s="2">
        <v>82</v>
      </c>
      <c r="J27" s="2">
        <v>64.02</v>
      </c>
      <c r="K27" s="2" t="s">
        <v>18</v>
      </c>
      <c r="L27" s="1">
        <f t="shared" si="1"/>
        <v>84</v>
      </c>
      <c r="M27" s="2" t="str">
        <f t="shared" si="2"/>
        <v>Pass</v>
      </c>
      <c r="N27" s="2" t="str">
        <f t="shared" si="0"/>
        <v>Stable</v>
      </c>
    </row>
    <row r="28" spans="1:14" x14ac:dyDescent="0.3">
      <c r="A28" s="2" t="s">
        <v>75</v>
      </c>
      <c r="B28" s="2" t="s">
        <v>76</v>
      </c>
      <c r="C28" s="2" t="s">
        <v>21</v>
      </c>
      <c r="D28" s="2">
        <v>22</v>
      </c>
      <c r="E28" s="2" t="s">
        <v>27</v>
      </c>
      <c r="F28" s="2">
        <v>3</v>
      </c>
      <c r="G28" s="2">
        <v>46</v>
      </c>
      <c r="H28" s="2">
        <v>47</v>
      </c>
      <c r="I28" s="2">
        <v>63</v>
      </c>
      <c r="J28" s="2">
        <v>64.2</v>
      </c>
      <c r="K28" s="2" t="s">
        <v>31</v>
      </c>
      <c r="L28" s="1">
        <f t="shared" si="1"/>
        <v>52</v>
      </c>
      <c r="M28" s="2" t="str">
        <f t="shared" si="2"/>
        <v>Pass</v>
      </c>
      <c r="N28" s="2" t="str">
        <f t="shared" si="0"/>
        <v>Monitor</v>
      </c>
    </row>
    <row r="29" spans="1:14" x14ac:dyDescent="0.3">
      <c r="A29" s="2" t="s">
        <v>77</v>
      </c>
      <c r="B29" s="2" t="s">
        <v>78</v>
      </c>
      <c r="C29" s="2" t="s">
        <v>21</v>
      </c>
      <c r="D29" s="2">
        <v>21</v>
      </c>
      <c r="E29" s="2" t="s">
        <v>17</v>
      </c>
      <c r="F29" s="2">
        <v>3</v>
      </c>
      <c r="G29" s="2">
        <v>35</v>
      </c>
      <c r="H29" s="2">
        <v>98</v>
      </c>
      <c r="I29" s="2">
        <v>49</v>
      </c>
      <c r="J29" s="2">
        <v>67.22</v>
      </c>
      <c r="K29" s="2" t="s">
        <v>22</v>
      </c>
      <c r="L29" s="1">
        <f t="shared" si="1"/>
        <v>60.666666666666664</v>
      </c>
      <c r="M29" s="2" t="str">
        <f t="shared" si="2"/>
        <v>Fail</v>
      </c>
      <c r="N29" s="2" t="str">
        <f t="shared" si="0"/>
        <v>High Risk</v>
      </c>
    </row>
    <row r="30" spans="1:14" x14ac:dyDescent="0.3">
      <c r="A30" s="2" t="s">
        <v>79</v>
      </c>
      <c r="B30" s="2" t="s">
        <v>80</v>
      </c>
      <c r="C30" s="2" t="s">
        <v>21</v>
      </c>
      <c r="D30" s="2">
        <v>20</v>
      </c>
      <c r="E30" s="2" t="s">
        <v>34</v>
      </c>
      <c r="F30" s="2">
        <v>4</v>
      </c>
      <c r="G30" s="2">
        <v>61</v>
      </c>
      <c r="H30" s="2">
        <v>86</v>
      </c>
      <c r="I30" s="2">
        <v>93</v>
      </c>
      <c r="J30" s="2">
        <v>93.35</v>
      </c>
      <c r="K30" s="2" t="s">
        <v>18</v>
      </c>
      <c r="L30" s="1">
        <f t="shared" si="1"/>
        <v>80</v>
      </c>
      <c r="M30" s="2" t="str">
        <f t="shared" si="2"/>
        <v>Pass</v>
      </c>
      <c r="N30" s="2" t="str">
        <f t="shared" si="0"/>
        <v>Stable</v>
      </c>
    </row>
    <row r="31" spans="1:14" x14ac:dyDescent="0.3">
      <c r="A31" s="2" t="s">
        <v>81</v>
      </c>
      <c r="B31" s="2" t="s">
        <v>82</v>
      </c>
      <c r="C31" s="2" t="s">
        <v>21</v>
      </c>
      <c r="D31" s="2">
        <v>18</v>
      </c>
      <c r="E31" s="2" t="s">
        <v>50</v>
      </c>
      <c r="F31" s="2">
        <v>6</v>
      </c>
      <c r="G31" s="2">
        <v>76</v>
      </c>
      <c r="H31" s="2">
        <v>60</v>
      </c>
      <c r="I31" s="2">
        <v>66</v>
      </c>
      <c r="J31" s="2">
        <v>75.52</v>
      </c>
      <c r="K31" s="2" t="s">
        <v>22</v>
      </c>
      <c r="L31" s="1">
        <f t="shared" si="1"/>
        <v>67.333333333333329</v>
      </c>
      <c r="M31" s="2" t="str">
        <f t="shared" si="2"/>
        <v>Pass</v>
      </c>
      <c r="N31" s="2" t="str">
        <f t="shared" si="0"/>
        <v>Stable</v>
      </c>
    </row>
    <row r="32" spans="1:14" x14ac:dyDescent="0.3">
      <c r="A32" s="2" t="s">
        <v>83</v>
      </c>
      <c r="B32" s="2" t="s">
        <v>84</v>
      </c>
      <c r="C32" s="2" t="s">
        <v>16</v>
      </c>
      <c r="D32" s="2">
        <v>19</v>
      </c>
      <c r="E32" s="2" t="s">
        <v>17</v>
      </c>
      <c r="F32" s="2">
        <v>4</v>
      </c>
      <c r="G32" s="2">
        <v>35</v>
      </c>
      <c r="H32" s="2">
        <v>78</v>
      </c>
      <c r="I32" s="2">
        <v>72</v>
      </c>
      <c r="J32" s="2">
        <v>82.9</v>
      </c>
      <c r="K32" s="2" t="s">
        <v>22</v>
      </c>
      <c r="L32" s="1">
        <f t="shared" si="1"/>
        <v>61.666666666666664</v>
      </c>
      <c r="M32" s="2" t="str">
        <f t="shared" si="2"/>
        <v>Fail</v>
      </c>
      <c r="N32" s="2" t="str">
        <f t="shared" si="0"/>
        <v>High Risk</v>
      </c>
    </row>
    <row r="33" spans="1:14" x14ac:dyDescent="0.3">
      <c r="A33" s="2" t="s">
        <v>85</v>
      </c>
      <c r="B33" s="2" t="s">
        <v>30</v>
      </c>
      <c r="C33" s="2" t="s">
        <v>21</v>
      </c>
      <c r="D33" s="2">
        <v>23</v>
      </c>
      <c r="E33" s="2" t="s">
        <v>17</v>
      </c>
      <c r="F33" s="2">
        <v>4</v>
      </c>
      <c r="G33" s="2">
        <v>66</v>
      </c>
      <c r="H33" s="2">
        <v>68</v>
      </c>
      <c r="I33" s="2">
        <v>68</v>
      </c>
      <c r="J33" s="2">
        <v>88.38</v>
      </c>
      <c r="K33" s="2" t="s">
        <v>22</v>
      </c>
      <c r="L33" s="1">
        <f t="shared" si="1"/>
        <v>67.333333333333329</v>
      </c>
      <c r="M33" s="2" t="str">
        <f t="shared" si="2"/>
        <v>Pass</v>
      </c>
      <c r="N33" s="2" t="str">
        <f t="shared" si="0"/>
        <v>Stable</v>
      </c>
    </row>
    <row r="34" spans="1:14" x14ac:dyDescent="0.3">
      <c r="A34" s="2" t="s">
        <v>86</v>
      </c>
      <c r="B34" s="2" t="s">
        <v>87</v>
      </c>
      <c r="C34" s="2" t="s">
        <v>21</v>
      </c>
      <c r="D34" s="2">
        <v>23</v>
      </c>
      <c r="E34" s="2" t="s">
        <v>27</v>
      </c>
      <c r="F34" s="2">
        <v>5</v>
      </c>
      <c r="G34" s="2">
        <v>74</v>
      </c>
      <c r="H34" s="2">
        <v>37</v>
      </c>
      <c r="I34" s="2">
        <v>98</v>
      </c>
      <c r="J34" s="2">
        <v>89.24</v>
      </c>
      <c r="K34" s="2" t="s">
        <v>22</v>
      </c>
      <c r="L34" s="1">
        <f t="shared" si="1"/>
        <v>69.666666666666671</v>
      </c>
      <c r="M34" s="2" t="str">
        <f t="shared" si="2"/>
        <v>Fail</v>
      </c>
      <c r="N34" s="2" t="str">
        <f t="shared" si="0"/>
        <v>High Risk</v>
      </c>
    </row>
    <row r="35" spans="1:14" x14ac:dyDescent="0.3">
      <c r="A35" s="2" t="s">
        <v>88</v>
      </c>
      <c r="B35" s="2" t="s">
        <v>89</v>
      </c>
      <c r="C35" s="2" t="s">
        <v>21</v>
      </c>
      <c r="D35" s="2">
        <v>20</v>
      </c>
      <c r="E35" s="2" t="s">
        <v>27</v>
      </c>
      <c r="F35" s="2">
        <v>1</v>
      </c>
      <c r="G35" s="2">
        <v>59</v>
      </c>
      <c r="H35" s="2">
        <v>48</v>
      </c>
      <c r="I35" s="2">
        <v>44</v>
      </c>
      <c r="J35" s="2">
        <v>69.41</v>
      </c>
      <c r="K35" s="2" t="s">
        <v>31</v>
      </c>
      <c r="L35" s="1">
        <f t="shared" si="1"/>
        <v>50.333333333333336</v>
      </c>
      <c r="M35" s="2" t="str">
        <f t="shared" si="2"/>
        <v>Pass</v>
      </c>
      <c r="N35" s="2" t="str">
        <f t="shared" si="0"/>
        <v>Monitor</v>
      </c>
    </row>
    <row r="36" spans="1:14" x14ac:dyDescent="0.3">
      <c r="A36" s="2" t="s">
        <v>90</v>
      </c>
      <c r="B36" s="2" t="s">
        <v>91</v>
      </c>
      <c r="C36" s="2" t="s">
        <v>21</v>
      </c>
      <c r="D36" s="2">
        <v>20</v>
      </c>
      <c r="E36" s="2" t="s">
        <v>27</v>
      </c>
      <c r="F36" s="2">
        <v>4</v>
      </c>
      <c r="G36" s="2">
        <v>83</v>
      </c>
      <c r="H36" s="2">
        <v>47</v>
      </c>
      <c r="I36" s="2">
        <v>63</v>
      </c>
      <c r="J36" s="2">
        <v>95.29</v>
      </c>
      <c r="K36" s="2" t="s">
        <v>22</v>
      </c>
      <c r="L36" s="1">
        <f t="shared" si="1"/>
        <v>64.333333333333329</v>
      </c>
      <c r="M36" s="2" t="str">
        <f t="shared" si="2"/>
        <v>Pass</v>
      </c>
      <c r="N36" s="2" t="str">
        <f t="shared" si="0"/>
        <v>Stable</v>
      </c>
    </row>
    <row r="37" spans="1:14" x14ac:dyDescent="0.3">
      <c r="A37" s="2" t="s">
        <v>92</v>
      </c>
      <c r="B37" s="2" t="s">
        <v>93</v>
      </c>
      <c r="C37" s="2" t="s">
        <v>21</v>
      </c>
      <c r="D37" s="2">
        <v>21</v>
      </c>
      <c r="E37" s="2" t="s">
        <v>50</v>
      </c>
      <c r="F37" s="2">
        <v>4</v>
      </c>
      <c r="G37" s="2">
        <v>55</v>
      </c>
      <c r="H37" s="2">
        <v>63</v>
      </c>
      <c r="I37" s="2">
        <v>72</v>
      </c>
      <c r="J37" s="2">
        <v>67.03</v>
      </c>
      <c r="K37" s="2" t="s">
        <v>22</v>
      </c>
      <c r="L37" s="1">
        <f t="shared" si="1"/>
        <v>63.333333333333336</v>
      </c>
      <c r="M37" s="2" t="str">
        <f t="shared" si="2"/>
        <v>Pass</v>
      </c>
      <c r="N37" s="2" t="str">
        <f t="shared" si="0"/>
        <v>Stable</v>
      </c>
    </row>
    <row r="38" spans="1:14" x14ac:dyDescent="0.3">
      <c r="A38" s="2" t="s">
        <v>94</v>
      </c>
      <c r="B38" s="2" t="s">
        <v>95</v>
      </c>
      <c r="C38" s="2" t="s">
        <v>21</v>
      </c>
      <c r="D38" s="2">
        <v>19</v>
      </c>
      <c r="E38" s="2" t="s">
        <v>27</v>
      </c>
      <c r="F38" s="2">
        <v>2</v>
      </c>
      <c r="G38" s="2">
        <v>44</v>
      </c>
      <c r="H38" s="2">
        <v>47</v>
      </c>
      <c r="I38" s="2">
        <v>83</v>
      </c>
      <c r="J38" s="2">
        <v>89.92</v>
      </c>
      <c r="K38" s="2" t="s">
        <v>31</v>
      </c>
      <c r="L38" s="1">
        <f t="shared" si="1"/>
        <v>58</v>
      </c>
      <c r="M38" s="2" t="str">
        <f t="shared" si="2"/>
        <v>Pass</v>
      </c>
      <c r="N38" s="2" t="str">
        <f t="shared" si="0"/>
        <v>Monitor</v>
      </c>
    </row>
    <row r="39" spans="1:14" x14ac:dyDescent="0.3">
      <c r="A39" s="2" t="s">
        <v>96</v>
      </c>
      <c r="B39" s="2" t="s">
        <v>97</v>
      </c>
      <c r="C39" s="2" t="s">
        <v>21</v>
      </c>
      <c r="D39" s="2">
        <v>23</v>
      </c>
      <c r="E39" s="2" t="s">
        <v>17</v>
      </c>
      <c r="F39" s="2">
        <v>4</v>
      </c>
      <c r="G39" s="2">
        <v>49</v>
      </c>
      <c r="H39" s="2">
        <v>71</v>
      </c>
      <c r="I39" s="2">
        <v>76</v>
      </c>
      <c r="J39" s="2">
        <v>93.84</v>
      </c>
      <c r="K39" s="2" t="s">
        <v>22</v>
      </c>
      <c r="L39" s="1">
        <f t="shared" si="1"/>
        <v>65.333333333333329</v>
      </c>
      <c r="M39" s="2" t="str">
        <f t="shared" si="2"/>
        <v>Pass</v>
      </c>
      <c r="N39" s="2" t="str">
        <f t="shared" si="0"/>
        <v>Stable</v>
      </c>
    </row>
    <row r="40" spans="1:14" x14ac:dyDescent="0.3">
      <c r="A40" s="2" t="s">
        <v>98</v>
      </c>
      <c r="B40" s="2" t="s">
        <v>82</v>
      </c>
      <c r="C40" s="2" t="s">
        <v>16</v>
      </c>
      <c r="D40" s="2">
        <v>22</v>
      </c>
      <c r="E40" s="2" t="s">
        <v>50</v>
      </c>
      <c r="F40" s="2">
        <v>3</v>
      </c>
      <c r="G40" s="2">
        <v>77</v>
      </c>
      <c r="H40" s="2">
        <v>78</v>
      </c>
      <c r="I40" s="2">
        <v>57</v>
      </c>
      <c r="J40" s="2">
        <v>67.08</v>
      </c>
      <c r="K40" s="2" t="s">
        <v>28</v>
      </c>
      <c r="L40" s="1">
        <f t="shared" si="1"/>
        <v>70.666666666666671</v>
      </c>
      <c r="M40" s="2" t="str">
        <f t="shared" si="2"/>
        <v>Pass</v>
      </c>
      <c r="N40" s="2" t="str">
        <f t="shared" si="0"/>
        <v>Stable</v>
      </c>
    </row>
    <row r="41" spans="1:14" x14ac:dyDescent="0.3">
      <c r="A41" s="2" t="s">
        <v>99</v>
      </c>
      <c r="B41" s="2" t="s">
        <v>100</v>
      </c>
      <c r="C41" s="2" t="s">
        <v>21</v>
      </c>
      <c r="D41" s="2">
        <v>19</v>
      </c>
      <c r="E41" s="2" t="s">
        <v>27</v>
      </c>
      <c r="F41" s="2">
        <v>2</v>
      </c>
      <c r="G41" s="2">
        <v>62</v>
      </c>
      <c r="H41" s="2">
        <v>50</v>
      </c>
      <c r="I41" s="2">
        <v>53</v>
      </c>
      <c r="J41" s="2">
        <v>98.71</v>
      </c>
      <c r="K41" s="2" t="s">
        <v>31</v>
      </c>
      <c r="L41" s="1">
        <f t="shared" si="1"/>
        <v>55</v>
      </c>
      <c r="M41" s="2" t="str">
        <f t="shared" si="2"/>
        <v>Pass</v>
      </c>
      <c r="N41" s="2" t="str">
        <f t="shared" si="0"/>
        <v>Monitor</v>
      </c>
    </row>
    <row r="42" spans="1:14" x14ac:dyDescent="0.3">
      <c r="A42" s="2" t="s">
        <v>101</v>
      </c>
      <c r="B42" s="2" t="s">
        <v>78</v>
      </c>
      <c r="C42" s="2" t="s">
        <v>16</v>
      </c>
      <c r="D42" s="2">
        <v>20</v>
      </c>
      <c r="E42" s="2" t="s">
        <v>34</v>
      </c>
      <c r="F42" s="2">
        <v>5</v>
      </c>
      <c r="G42" s="2">
        <v>69</v>
      </c>
      <c r="H42" s="2">
        <v>62</v>
      </c>
      <c r="I42" s="2">
        <v>53</v>
      </c>
      <c r="J42" s="2">
        <v>64.430000000000007</v>
      </c>
      <c r="K42" s="2" t="s">
        <v>22</v>
      </c>
      <c r="L42" s="1">
        <f t="shared" si="1"/>
        <v>61.333333333333336</v>
      </c>
      <c r="M42" s="2" t="str">
        <f t="shared" si="2"/>
        <v>Pass</v>
      </c>
      <c r="N42" s="2" t="str">
        <f t="shared" si="0"/>
        <v>Stable</v>
      </c>
    </row>
    <row r="43" spans="1:14" x14ac:dyDescent="0.3">
      <c r="A43" s="2" t="s">
        <v>102</v>
      </c>
      <c r="B43" s="2" t="s">
        <v>103</v>
      </c>
      <c r="C43" s="2" t="s">
        <v>16</v>
      </c>
      <c r="D43" s="2">
        <v>19</v>
      </c>
      <c r="E43" s="2" t="s">
        <v>50</v>
      </c>
      <c r="F43" s="2">
        <v>2</v>
      </c>
      <c r="G43" s="2">
        <v>49</v>
      </c>
      <c r="H43" s="2">
        <v>54</v>
      </c>
      <c r="I43" s="2">
        <v>82</v>
      </c>
      <c r="J43" s="2">
        <v>79.87</v>
      </c>
      <c r="K43" s="2" t="s">
        <v>22</v>
      </c>
      <c r="L43" s="1">
        <f t="shared" si="1"/>
        <v>61.666666666666664</v>
      </c>
      <c r="M43" s="2" t="str">
        <f t="shared" si="2"/>
        <v>Pass</v>
      </c>
      <c r="N43" s="2" t="str">
        <f t="shared" si="0"/>
        <v>Stable</v>
      </c>
    </row>
    <row r="44" spans="1:14" x14ac:dyDescent="0.3">
      <c r="A44" s="2" t="s">
        <v>104</v>
      </c>
      <c r="B44" s="2" t="s">
        <v>105</v>
      </c>
      <c r="C44" s="2" t="s">
        <v>21</v>
      </c>
      <c r="D44" s="2">
        <v>21</v>
      </c>
      <c r="E44" s="2" t="s">
        <v>27</v>
      </c>
      <c r="F44" s="2">
        <v>5</v>
      </c>
      <c r="G44" s="2">
        <v>85</v>
      </c>
      <c r="H44" s="2">
        <v>86</v>
      </c>
      <c r="I44" s="2">
        <v>70</v>
      </c>
      <c r="J44" s="2">
        <v>69.959999999999994</v>
      </c>
      <c r="K44" s="2" t="s">
        <v>18</v>
      </c>
      <c r="L44" s="1">
        <f t="shared" si="1"/>
        <v>80.333333333333329</v>
      </c>
      <c r="M44" s="2" t="str">
        <f t="shared" si="2"/>
        <v>Pass</v>
      </c>
      <c r="N44" s="2" t="str">
        <f t="shared" si="0"/>
        <v>Stable</v>
      </c>
    </row>
    <row r="45" spans="1:14" x14ac:dyDescent="0.3">
      <c r="A45" s="2" t="s">
        <v>106</v>
      </c>
      <c r="B45" s="2" t="s">
        <v>107</v>
      </c>
      <c r="C45" s="2" t="s">
        <v>21</v>
      </c>
      <c r="D45" s="2">
        <v>19</v>
      </c>
      <c r="E45" s="2" t="s">
        <v>50</v>
      </c>
      <c r="F45" s="2">
        <v>1</v>
      </c>
      <c r="G45" s="2">
        <v>69</v>
      </c>
      <c r="H45" s="2">
        <v>54</v>
      </c>
      <c r="I45" s="2">
        <v>67</v>
      </c>
      <c r="J45" s="2">
        <v>95.99</v>
      </c>
      <c r="K45" s="2" t="s">
        <v>22</v>
      </c>
      <c r="L45" s="1">
        <f t="shared" si="1"/>
        <v>63.333333333333336</v>
      </c>
      <c r="M45" s="2" t="str">
        <f t="shared" si="2"/>
        <v>Pass</v>
      </c>
      <c r="N45" s="2" t="str">
        <f t="shared" si="0"/>
        <v>Stable</v>
      </c>
    </row>
    <row r="46" spans="1:14" x14ac:dyDescent="0.3">
      <c r="A46" s="2" t="s">
        <v>108</v>
      </c>
      <c r="B46" s="2" t="s">
        <v>109</v>
      </c>
      <c r="C46" s="2" t="s">
        <v>16</v>
      </c>
      <c r="D46" s="2">
        <v>21</v>
      </c>
      <c r="E46" s="2" t="s">
        <v>50</v>
      </c>
      <c r="F46" s="2">
        <v>1</v>
      </c>
      <c r="G46" s="2">
        <v>78</v>
      </c>
      <c r="H46" s="2">
        <v>53</v>
      </c>
      <c r="I46" s="2">
        <v>94</v>
      </c>
      <c r="J46" s="2">
        <v>67.95</v>
      </c>
      <c r="K46" s="2" t="s">
        <v>28</v>
      </c>
      <c r="L46" s="1">
        <f t="shared" si="1"/>
        <v>75</v>
      </c>
      <c r="M46" s="2" t="str">
        <f t="shared" si="2"/>
        <v>Pass</v>
      </c>
      <c r="N46" s="2" t="str">
        <f t="shared" si="0"/>
        <v>Stable</v>
      </c>
    </row>
    <row r="47" spans="1:14" x14ac:dyDescent="0.3">
      <c r="A47" s="2" t="s">
        <v>110</v>
      </c>
      <c r="B47" s="2" t="s">
        <v>111</v>
      </c>
      <c r="C47" s="2" t="s">
        <v>21</v>
      </c>
      <c r="D47" s="2">
        <v>23</v>
      </c>
      <c r="E47" s="2" t="s">
        <v>50</v>
      </c>
      <c r="F47" s="2">
        <v>4</v>
      </c>
      <c r="G47" s="2">
        <v>77</v>
      </c>
      <c r="H47" s="2">
        <v>38</v>
      </c>
      <c r="I47" s="2">
        <v>84</v>
      </c>
      <c r="J47" s="2">
        <v>76.510000000000005</v>
      </c>
      <c r="K47" s="2" t="s">
        <v>22</v>
      </c>
      <c r="L47" s="1">
        <f t="shared" si="1"/>
        <v>66.333333333333329</v>
      </c>
      <c r="M47" s="2" t="str">
        <f t="shared" si="2"/>
        <v>Fail</v>
      </c>
      <c r="N47" s="2" t="str">
        <f t="shared" si="0"/>
        <v>High Risk</v>
      </c>
    </row>
    <row r="48" spans="1:14" x14ac:dyDescent="0.3">
      <c r="A48" s="2" t="s">
        <v>112</v>
      </c>
      <c r="B48" s="2" t="s">
        <v>113</v>
      </c>
      <c r="C48" s="2" t="s">
        <v>16</v>
      </c>
      <c r="D48" s="2">
        <v>20</v>
      </c>
      <c r="E48" s="2" t="s">
        <v>50</v>
      </c>
      <c r="F48" s="2">
        <v>1</v>
      </c>
      <c r="G48" s="2">
        <v>70</v>
      </c>
      <c r="H48" s="2">
        <v>79</v>
      </c>
      <c r="I48" s="2">
        <v>48</v>
      </c>
      <c r="J48" s="2">
        <v>69.650000000000006</v>
      </c>
      <c r="K48" s="2" t="s">
        <v>22</v>
      </c>
      <c r="L48" s="1">
        <f t="shared" si="1"/>
        <v>65.666666666666671</v>
      </c>
      <c r="M48" s="2" t="str">
        <f t="shared" si="2"/>
        <v>Pass</v>
      </c>
      <c r="N48" s="2" t="str">
        <f t="shared" si="0"/>
        <v>Stable</v>
      </c>
    </row>
    <row r="49" spans="1:14" x14ac:dyDescent="0.3">
      <c r="A49" s="2" t="s">
        <v>114</v>
      </c>
      <c r="B49" s="2" t="s">
        <v>76</v>
      </c>
      <c r="C49" s="2" t="s">
        <v>16</v>
      </c>
      <c r="D49" s="2">
        <v>19</v>
      </c>
      <c r="E49" s="2" t="s">
        <v>17</v>
      </c>
      <c r="F49" s="2">
        <v>6</v>
      </c>
      <c r="G49" s="2">
        <v>87</v>
      </c>
      <c r="H49" s="2">
        <v>38</v>
      </c>
      <c r="I49" s="2">
        <v>89</v>
      </c>
      <c r="J49" s="2">
        <v>81.83</v>
      </c>
      <c r="K49" s="2" t="s">
        <v>28</v>
      </c>
      <c r="L49" s="1">
        <f t="shared" si="1"/>
        <v>71.333333333333329</v>
      </c>
      <c r="M49" s="2" t="str">
        <f t="shared" si="2"/>
        <v>Fail</v>
      </c>
      <c r="N49" s="2" t="str">
        <f t="shared" si="0"/>
        <v>High Risk</v>
      </c>
    </row>
    <row r="50" spans="1:14" x14ac:dyDescent="0.3">
      <c r="A50" s="2" t="s">
        <v>115</v>
      </c>
      <c r="B50" s="2" t="s">
        <v>116</v>
      </c>
      <c r="C50" s="2" t="s">
        <v>21</v>
      </c>
      <c r="D50" s="2">
        <v>18</v>
      </c>
      <c r="E50" s="2" t="s">
        <v>27</v>
      </c>
      <c r="F50" s="2">
        <v>4</v>
      </c>
      <c r="G50" s="2">
        <v>91</v>
      </c>
      <c r="H50" s="2">
        <v>76</v>
      </c>
      <c r="I50" s="2">
        <v>79</v>
      </c>
      <c r="J50" s="2">
        <v>94.7</v>
      </c>
      <c r="K50" s="2" t="s">
        <v>18</v>
      </c>
      <c r="L50" s="1">
        <f t="shared" si="1"/>
        <v>82</v>
      </c>
      <c r="M50" s="2" t="str">
        <f t="shared" si="2"/>
        <v>Pass</v>
      </c>
      <c r="N50" s="2" t="str">
        <f t="shared" si="0"/>
        <v>Stable</v>
      </c>
    </row>
    <row r="51" spans="1:14" x14ac:dyDescent="0.3">
      <c r="A51" s="2" t="s">
        <v>117</v>
      </c>
      <c r="B51" s="2" t="s">
        <v>118</v>
      </c>
      <c r="C51" s="2" t="s">
        <v>16</v>
      </c>
      <c r="D51" s="2">
        <v>20</v>
      </c>
      <c r="E51" s="2" t="s">
        <v>17</v>
      </c>
      <c r="F51" s="2">
        <v>3</v>
      </c>
      <c r="G51" s="2">
        <v>39</v>
      </c>
      <c r="H51" s="2">
        <v>100</v>
      </c>
      <c r="I51" s="2">
        <v>65</v>
      </c>
      <c r="J51" s="2">
        <v>63.61</v>
      </c>
      <c r="K51" s="2" t="s">
        <v>22</v>
      </c>
      <c r="L51" s="1">
        <f t="shared" si="1"/>
        <v>68</v>
      </c>
      <c r="M51" s="2" t="str">
        <f t="shared" si="2"/>
        <v>Fail</v>
      </c>
      <c r="N51" s="2" t="str">
        <f t="shared" si="0"/>
        <v>High Risk</v>
      </c>
    </row>
    <row r="52" spans="1:14" x14ac:dyDescent="0.3">
      <c r="A52" s="2" t="s">
        <v>119</v>
      </c>
      <c r="B52" s="2" t="s">
        <v>24</v>
      </c>
      <c r="C52" s="2" t="s">
        <v>16</v>
      </c>
      <c r="D52" s="2">
        <v>19</v>
      </c>
      <c r="E52" s="2" t="s">
        <v>37</v>
      </c>
      <c r="F52" s="2">
        <v>3</v>
      </c>
      <c r="G52" s="2">
        <v>51</v>
      </c>
      <c r="H52" s="2">
        <v>75</v>
      </c>
      <c r="I52" s="2">
        <v>89</v>
      </c>
      <c r="J52" s="2">
        <v>86.21</v>
      </c>
      <c r="K52" s="2" t="s">
        <v>28</v>
      </c>
      <c r="L52" s="1">
        <f t="shared" si="1"/>
        <v>71.666666666666671</v>
      </c>
      <c r="M52" s="2" t="str">
        <f t="shared" si="2"/>
        <v>Pass</v>
      </c>
      <c r="N52" s="2" t="str">
        <f t="shared" si="0"/>
        <v>Stable</v>
      </c>
    </row>
    <row r="53" spans="1:14" x14ac:dyDescent="0.3">
      <c r="A53" s="2" t="s">
        <v>120</v>
      </c>
      <c r="B53" s="2" t="s">
        <v>121</v>
      </c>
      <c r="C53" s="2" t="s">
        <v>21</v>
      </c>
      <c r="D53" s="2">
        <v>21</v>
      </c>
      <c r="E53" s="2" t="s">
        <v>27</v>
      </c>
      <c r="F53" s="2">
        <v>5</v>
      </c>
      <c r="G53" s="2">
        <v>51</v>
      </c>
      <c r="H53" s="2">
        <v>96</v>
      </c>
      <c r="I53" s="2">
        <v>97</v>
      </c>
      <c r="J53" s="2">
        <v>60.04</v>
      </c>
      <c r="K53" s="2" t="s">
        <v>18</v>
      </c>
      <c r="L53" s="1">
        <f t="shared" si="1"/>
        <v>81.333333333333329</v>
      </c>
      <c r="M53" s="2" t="str">
        <f t="shared" si="2"/>
        <v>Pass</v>
      </c>
      <c r="N53" s="2" t="str">
        <f t="shared" si="0"/>
        <v>Stable</v>
      </c>
    </row>
    <row r="54" spans="1:14" x14ac:dyDescent="0.3">
      <c r="A54" s="2" t="s">
        <v>122</v>
      </c>
      <c r="B54" s="2" t="s">
        <v>123</v>
      </c>
      <c r="C54" s="2" t="s">
        <v>16</v>
      </c>
      <c r="D54" s="2">
        <v>20</v>
      </c>
      <c r="E54" s="2" t="s">
        <v>17</v>
      </c>
      <c r="F54" s="2">
        <v>5</v>
      </c>
      <c r="G54" s="2">
        <v>82</v>
      </c>
      <c r="H54" s="2">
        <v>40</v>
      </c>
      <c r="I54" s="2">
        <v>87</v>
      </c>
      <c r="J54" s="2">
        <v>97.95</v>
      </c>
      <c r="K54" s="2" t="s">
        <v>22</v>
      </c>
      <c r="L54" s="1">
        <f t="shared" si="1"/>
        <v>69.666666666666671</v>
      </c>
      <c r="M54" s="2" t="str">
        <f t="shared" si="2"/>
        <v>Pass</v>
      </c>
      <c r="N54" s="2" t="str">
        <f t="shared" si="0"/>
        <v>Stable</v>
      </c>
    </row>
    <row r="55" spans="1:14" x14ac:dyDescent="0.3">
      <c r="A55" s="2" t="s">
        <v>124</v>
      </c>
      <c r="B55" s="2" t="s">
        <v>125</v>
      </c>
      <c r="C55" s="2" t="s">
        <v>16</v>
      </c>
      <c r="D55" s="2">
        <v>19</v>
      </c>
      <c r="E55" s="2" t="s">
        <v>37</v>
      </c>
      <c r="F55" s="2">
        <v>6</v>
      </c>
      <c r="G55" s="2">
        <v>100</v>
      </c>
      <c r="H55" s="2">
        <v>80</v>
      </c>
      <c r="I55" s="2">
        <v>96</v>
      </c>
      <c r="J55" s="2">
        <v>73.66</v>
      </c>
      <c r="K55" s="2" t="s">
        <v>126</v>
      </c>
      <c r="L55" s="1">
        <f t="shared" si="1"/>
        <v>92</v>
      </c>
      <c r="M55" s="2" t="str">
        <f t="shared" si="2"/>
        <v>Pass</v>
      </c>
      <c r="N55" s="2" t="str">
        <f t="shared" si="0"/>
        <v>Stable</v>
      </c>
    </row>
    <row r="56" spans="1:14" x14ac:dyDescent="0.3">
      <c r="A56" s="2" t="s">
        <v>127</v>
      </c>
      <c r="B56" s="2" t="s">
        <v>128</v>
      </c>
      <c r="C56" s="2" t="s">
        <v>21</v>
      </c>
      <c r="D56" s="2">
        <v>18</v>
      </c>
      <c r="E56" s="2" t="s">
        <v>27</v>
      </c>
      <c r="F56" s="2">
        <v>4</v>
      </c>
      <c r="G56" s="2">
        <v>74</v>
      </c>
      <c r="H56" s="2">
        <v>97</v>
      </c>
      <c r="I56" s="2">
        <v>43</v>
      </c>
      <c r="J56" s="2">
        <v>70.06</v>
      </c>
      <c r="K56" s="2" t="s">
        <v>28</v>
      </c>
      <c r="L56" s="1">
        <f t="shared" si="1"/>
        <v>71.333333333333329</v>
      </c>
      <c r="M56" s="2" t="str">
        <f t="shared" si="2"/>
        <v>Pass</v>
      </c>
      <c r="N56" s="2" t="str">
        <f t="shared" si="0"/>
        <v>Stable</v>
      </c>
    </row>
    <row r="57" spans="1:14" x14ac:dyDescent="0.3">
      <c r="A57" s="2" t="s">
        <v>129</v>
      </c>
      <c r="B57" s="2" t="s">
        <v>130</v>
      </c>
      <c r="C57" s="2" t="s">
        <v>21</v>
      </c>
      <c r="D57" s="2">
        <v>19</v>
      </c>
      <c r="E57" s="2" t="s">
        <v>34</v>
      </c>
      <c r="F57" s="2">
        <v>4</v>
      </c>
      <c r="G57" s="2">
        <v>66</v>
      </c>
      <c r="H57" s="2">
        <v>77</v>
      </c>
      <c r="I57" s="2">
        <v>80</v>
      </c>
      <c r="J57" s="2">
        <v>65.459999999999994</v>
      </c>
      <c r="K57" s="2" t="s">
        <v>28</v>
      </c>
      <c r="L57" s="1">
        <f t="shared" si="1"/>
        <v>74.333333333333329</v>
      </c>
      <c r="M57" s="2" t="str">
        <f t="shared" si="2"/>
        <v>Pass</v>
      </c>
      <c r="N57" s="2" t="str">
        <f t="shared" si="0"/>
        <v>Stable</v>
      </c>
    </row>
    <row r="58" spans="1:14" x14ac:dyDescent="0.3">
      <c r="A58" s="2" t="s">
        <v>131</v>
      </c>
      <c r="B58" s="2" t="s">
        <v>97</v>
      </c>
      <c r="C58" s="2" t="s">
        <v>21</v>
      </c>
      <c r="D58" s="2">
        <v>22</v>
      </c>
      <c r="E58" s="2" t="s">
        <v>17</v>
      </c>
      <c r="F58" s="2">
        <v>6</v>
      </c>
      <c r="G58" s="2">
        <v>79</v>
      </c>
      <c r="H58" s="2">
        <v>67</v>
      </c>
      <c r="I58" s="2">
        <v>71</v>
      </c>
      <c r="J58" s="2">
        <v>73.17</v>
      </c>
      <c r="K58" s="2" t="s">
        <v>28</v>
      </c>
      <c r="L58" s="1">
        <f t="shared" si="1"/>
        <v>72.333333333333329</v>
      </c>
      <c r="M58" s="2" t="str">
        <f t="shared" si="2"/>
        <v>Pass</v>
      </c>
      <c r="N58" s="2" t="str">
        <f t="shared" si="0"/>
        <v>Stable</v>
      </c>
    </row>
    <row r="59" spans="1:14" x14ac:dyDescent="0.3">
      <c r="A59" s="2" t="s">
        <v>132</v>
      </c>
      <c r="B59" s="2" t="s">
        <v>43</v>
      </c>
      <c r="C59" s="2" t="s">
        <v>21</v>
      </c>
      <c r="D59" s="2">
        <v>23</v>
      </c>
      <c r="E59" s="2" t="s">
        <v>27</v>
      </c>
      <c r="F59" s="2">
        <v>1</v>
      </c>
      <c r="G59" s="2">
        <v>74</v>
      </c>
      <c r="H59" s="2">
        <v>35</v>
      </c>
      <c r="I59" s="2">
        <v>85</v>
      </c>
      <c r="J59" s="2">
        <v>88.52</v>
      </c>
      <c r="K59" s="2" t="s">
        <v>22</v>
      </c>
      <c r="L59" s="1">
        <f t="shared" si="1"/>
        <v>64.666666666666671</v>
      </c>
      <c r="M59" s="2" t="str">
        <f t="shared" si="2"/>
        <v>Fail</v>
      </c>
      <c r="N59" s="2" t="str">
        <f t="shared" si="0"/>
        <v>High Risk</v>
      </c>
    </row>
    <row r="60" spans="1:14" x14ac:dyDescent="0.3">
      <c r="A60" s="2" t="s">
        <v>133</v>
      </c>
      <c r="B60" s="2" t="s">
        <v>134</v>
      </c>
      <c r="C60" s="2" t="s">
        <v>21</v>
      </c>
      <c r="D60" s="2">
        <v>18</v>
      </c>
      <c r="E60" s="2" t="s">
        <v>37</v>
      </c>
      <c r="F60" s="2">
        <v>2</v>
      </c>
      <c r="G60" s="2">
        <v>76</v>
      </c>
      <c r="H60" s="2">
        <v>72</v>
      </c>
      <c r="I60" s="2">
        <v>90</v>
      </c>
      <c r="J60" s="2">
        <v>76.599999999999994</v>
      </c>
      <c r="K60" s="2" t="s">
        <v>28</v>
      </c>
      <c r="L60" s="1">
        <f t="shared" si="1"/>
        <v>79.333333333333329</v>
      </c>
      <c r="M60" s="2" t="str">
        <f t="shared" si="2"/>
        <v>Pass</v>
      </c>
      <c r="N60" s="2" t="str">
        <f t="shared" si="0"/>
        <v>Stable</v>
      </c>
    </row>
    <row r="61" spans="1:14" x14ac:dyDescent="0.3">
      <c r="A61" s="2" t="s">
        <v>135</v>
      </c>
      <c r="B61" s="2" t="s">
        <v>136</v>
      </c>
      <c r="C61" s="2" t="s">
        <v>21</v>
      </c>
      <c r="D61" s="2">
        <v>19</v>
      </c>
      <c r="E61" s="2" t="s">
        <v>37</v>
      </c>
      <c r="F61" s="2">
        <v>5</v>
      </c>
      <c r="G61" s="2">
        <v>41</v>
      </c>
      <c r="H61" s="2">
        <v>50</v>
      </c>
      <c r="I61" s="2">
        <v>91</v>
      </c>
      <c r="J61" s="2">
        <v>67.239999999999995</v>
      </c>
      <c r="K61" s="2" t="s">
        <v>22</v>
      </c>
      <c r="L61" s="1">
        <f t="shared" si="1"/>
        <v>60.666666666666664</v>
      </c>
      <c r="M61" s="2" t="str">
        <f t="shared" si="2"/>
        <v>Pass</v>
      </c>
      <c r="N61" s="2" t="str">
        <f t="shared" si="0"/>
        <v>Stable</v>
      </c>
    </row>
    <row r="62" spans="1:14" x14ac:dyDescent="0.3">
      <c r="A62" s="2" t="s">
        <v>137</v>
      </c>
      <c r="B62" s="2" t="s">
        <v>138</v>
      </c>
      <c r="C62" s="2" t="s">
        <v>21</v>
      </c>
      <c r="D62" s="2">
        <v>18</v>
      </c>
      <c r="E62" s="2" t="s">
        <v>17</v>
      </c>
      <c r="F62" s="2">
        <v>3</v>
      </c>
      <c r="G62" s="2">
        <v>57</v>
      </c>
      <c r="H62" s="2">
        <v>50</v>
      </c>
      <c r="I62" s="2">
        <v>59</v>
      </c>
      <c r="J62" s="2">
        <v>74.63</v>
      </c>
      <c r="K62" s="2" t="s">
        <v>31</v>
      </c>
      <c r="L62" s="1">
        <f t="shared" si="1"/>
        <v>55.333333333333336</v>
      </c>
      <c r="M62" s="2" t="str">
        <f t="shared" si="2"/>
        <v>Pass</v>
      </c>
      <c r="N62" s="2" t="str">
        <f t="shared" si="0"/>
        <v>Monitor</v>
      </c>
    </row>
    <row r="63" spans="1:14" x14ac:dyDescent="0.3">
      <c r="A63" s="2" t="s">
        <v>139</v>
      </c>
      <c r="B63" s="2" t="s">
        <v>116</v>
      </c>
      <c r="C63" s="2" t="s">
        <v>21</v>
      </c>
      <c r="D63" s="2">
        <v>21</v>
      </c>
      <c r="E63" s="2" t="s">
        <v>27</v>
      </c>
      <c r="F63" s="2">
        <v>4</v>
      </c>
      <c r="G63" s="2">
        <v>71</v>
      </c>
      <c r="H63" s="2">
        <v>63</v>
      </c>
      <c r="I63" s="2">
        <v>74</v>
      </c>
      <c r="J63" s="2">
        <v>84.19</v>
      </c>
      <c r="K63" s="2" t="s">
        <v>22</v>
      </c>
      <c r="L63" s="1">
        <f t="shared" si="1"/>
        <v>69.333333333333329</v>
      </c>
      <c r="M63" s="2" t="str">
        <f t="shared" si="2"/>
        <v>Pass</v>
      </c>
      <c r="N63" s="2" t="str">
        <f t="shared" si="0"/>
        <v>Stable</v>
      </c>
    </row>
    <row r="64" spans="1:14" x14ac:dyDescent="0.3">
      <c r="A64" s="2" t="s">
        <v>140</v>
      </c>
      <c r="B64" s="2" t="s">
        <v>141</v>
      </c>
      <c r="C64" s="2" t="s">
        <v>16</v>
      </c>
      <c r="D64" s="2">
        <v>18</v>
      </c>
      <c r="E64" s="2" t="s">
        <v>27</v>
      </c>
      <c r="F64" s="2">
        <v>5</v>
      </c>
      <c r="G64" s="2">
        <v>78</v>
      </c>
      <c r="H64" s="2">
        <v>51</v>
      </c>
      <c r="I64" s="2">
        <v>85</v>
      </c>
      <c r="J64" s="2">
        <v>61.87</v>
      </c>
      <c r="K64" s="2" t="s">
        <v>28</v>
      </c>
      <c r="L64" s="1">
        <f t="shared" si="1"/>
        <v>71.333333333333329</v>
      </c>
      <c r="M64" s="2" t="str">
        <f t="shared" si="2"/>
        <v>Pass</v>
      </c>
      <c r="N64" s="2" t="str">
        <f t="shared" si="0"/>
        <v>Stable</v>
      </c>
    </row>
    <row r="65" spans="1:14" x14ac:dyDescent="0.3">
      <c r="A65" s="2" t="s">
        <v>142</v>
      </c>
      <c r="B65" s="2" t="s">
        <v>143</v>
      </c>
      <c r="C65" s="2" t="s">
        <v>21</v>
      </c>
      <c r="D65" s="2">
        <v>23</v>
      </c>
      <c r="E65" s="2" t="s">
        <v>17</v>
      </c>
      <c r="F65" s="2">
        <v>4</v>
      </c>
      <c r="G65" s="2">
        <v>69</v>
      </c>
      <c r="H65" s="2">
        <v>80</v>
      </c>
      <c r="I65" s="2">
        <v>55</v>
      </c>
      <c r="J65" s="2">
        <v>82.44</v>
      </c>
      <c r="K65" s="2" t="s">
        <v>22</v>
      </c>
      <c r="L65" s="1">
        <f t="shared" si="1"/>
        <v>68</v>
      </c>
      <c r="M65" s="2" t="str">
        <f t="shared" si="2"/>
        <v>Pass</v>
      </c>
      <c r="N65" s="2" t="str">
        <f t="shared" si="0"/>
        <v>Stable</v>
      </c>
    </row>
    <row r="66" spans="1:14" x14ac:dyDescent="0.3">
      <c r="A66" s="2" t="s">
        <v>144</v>
      </c>
      <c r="B66" s="2" t="s">
        <v>145</v>
      </c>
      <c r="C66" s="2" t="s">
        <v>16</v>
      </c>
      <c r="D66" s="2">
        <v>19</v>
      </c>
      <c r="E66" s="2" t="s">
        <v>17</v>
      </c>
      <c r="F66" s="2">
        <v>4</v>
      </c>
      <c r="G66" s="2">
        <v>84</v>
      </c>
      <c r="H66" s="2">
        <v>84</v>
      </c>
      <c r="I66" s="2">
        <v>83</v>
      </c>
      <c r="J66" s="2">
        <v>77.02</v>
      </c>
      <c r="K66" s="2" t="s">
        <v>18</v>
      </c>
      <c r="L66" s="1">
        <f t="shared" si="1"/>
        <v>83.666666666666671</v>
      </c>
      <c r="M66" s="2" t="str">
        <f t="shared" si="2"/>
        <v>Pass</v>
      </c>
      <c r="N66" s="2" t="str">
        <f t="shared" ref="N66:N129" si="3">_xlfn.IFS(M66="Fail", "High Risk", L66&lt;60, "Monitor", TRUE, "Stable")</f>
        <v>Stable</v>
      </c>
    </row>
    <row r="67" spans="1:14" x14ac:dyDescent="0.3">
      <c r="A67" s="2" t="s">
        <v>146</v>
      </c>
      <c r="B67" s="2" t="s">
        <v>147</v>
      </c>
      <c r="C67" s="2" t="s">
        <v>16</v>
      </c>
      <c r="D67" s="2">
        <v>18</v>
      </c>
      <c r="E67" s="2" t="s">
        <v>50</v>
      </c>
      <c r="F67" s="2">
        <v>4</v>
      </c>
      <c r="G67" s="2">
        <v>49</v>
      </c>
      <c r="H67" s="2">
        <v>47</v>
      </c>
      <c r="I67" s="2">
        <v>90</v>
      </c>
      <c r="J67" s="2">
        <v>67.17</v>
      </c>
      <c r="K67" s="2" t="s">
        <v>22</v>
      </c>
      <c r="L67" s="1">
        <f t="shared" si="1"/>
        <v>62</v>
      </c>
      <c r="M67" s="2" t="str">
        <f t="shared" si="2"/>
        <v>Pass</v>
      </c>
      <c r="N67" s="2" t="str">
        <f t="shared" si="3"/>
        <v>Stable</v>
      </c>
    </row>
    <row r="68" spans="1:14" x14ac:dyDescent="0.3">
      <c r="A68" s="2" t="s">
        <v>148</v>
      </c>
      <c r="B68" s="2" t="s">
        <v>149</v>
      </c>
      <c r="C68" s="2" t="s">
        <v>21</v>
      </c>
      <c r="D68" s="2">
        <v>23</v>
      </c>
      <c r="E68" s="2" t="s">
        <v>50</v>
      </c>
      <c r="F68" s="2">
        <v>5</v>
      </c>
      <c r="G68" s="2">
        <v>87</v>
      </c>
      <c r="H68" s="2">
        <v>92</v>
      </c>
      <c r="I68" s="2">
        <v>35</v>
      </c>
      <c r="J68" s="2">
        <v>81.23</v>
      </c>
      <c r="K68" s="2" t="s">
        <v>28</v>
      </c>
      <c r="L68" s="1">
        <f t="shared" ref="L68:L131" si="4">AVERAGE(G68:I68)</f>
        <v>71.333333333333329</v>
      </c>
      <c r="M68" s="2" t="str">
        <f t="shared" ref="M68:M131" si="5">IF(OR(G68&lt;40, H68&lt;40, I68&lt;40), "Fail", "Pass")</f>
        <v>Fail</v>
      </c>
      <c r="N68" s="2" t="str">
        <f t="shared" si="3"/>
        <v>High Risk</v>
      </c>
    </row>
    <row r="69" spans="1:14" x14ac:dyDescent="0.3">
      <c r="A69" s="2" t="s">
        <v>150</v>
      </c>
      <c r="B69" s="2" t="s">
        <v>151</v>
      </c>
      <c r="C69" s="2" t="s">
        <v>16</v>
      </c>
      <c r="D69" s="2">
        <v>20</v>
      </c>
      <c r="E69" s="2" t="s">
        <v>50</v>
      </c>
      <c r="F69" s="2">
        <v>6</v>
      </c>
      <c r="G69" s="2">
        <v>77</v>
      </c>
      <c r="H69" s="2">
        <v>99</v>
      </c>
      <c r="I69" s="2">
        <v>45</v>
      </c>
      <c r="J69" s="2">
        <v>78.790000000000006</v>
      </c>
      <c r="K69" s="2" t="s">
        <v>28</v>
      </c>
      <c r="L69" s="1">
        <f t="shared" si="4"/>
        <v>73.666666666666671</v>
      </c>
      <c r="M69" s="2" t="str">
        <f t="shared" si="5"/>
        <v>Pass</v>
      </c>
      <c r="N69" s="2" t="str">
        <f t="shared" si="3"/>
        <v>Stable</v>
      </c>
    </row>
    <row r="70" spans="1:14" x14ac:dyDescent="0.3">
      <c r="A70" s="2" t="s">
        <v>152</v>
      </c>
      <c r="B70" s="2" t="s">
        <v>153</v>
      </c>
      <c r="C70" s="2" t="s">
        <v>16</v>
      </c>
      <c r="D70" s="2">
        <v>20</v>
      </c>
      <c r="E70" s="2" t="s">
        <v>37</v>
      </c>
      <c r="F70" s="2">
        <v>4</v>
      </c>
      <c r="G70" s="2">
        <v>57</v>
      </c>
      <c r="H70" s="2">
        <v>95</v>
      </c>
      <c r="I70" s="2">
        <v>86</v>
      </c>
      <c r="J70" s="2">
        <v>61.26</v>
      </c>
      <c r="K70" s="2" t="s">
        <v>28</v>
      </c>
      <c r="L70" s="1">
        <f t="shared" si="4"/>
        <v>79.333333333333329</v>
      </c>
      <c r="M70" s="2" t="str">
        <f t="shared" si="5"/>
        <v>Pass</v>
      </c>
      <c r="N70" s="2" t="str">
        <f t="shared" si="3"/>
        <v>Stable</v>
      </c>
    </row>
    <row r="71" spans="1:14" x14ac:dyDescent="0.3">
      <c r="A71" s="2" t="s">
        <v>154</v>
      </c>
      <c r="B71" s="2" t="s">
        <v>155</v>
      </c>
      <c r="C71" s="2" t="s">
        <v>21</v>
      </c>
      <c r="D71" s="2">
        <v>22</v>
      </c>
      <c r="E71" s="2" t="s">
        <v>17</v>
      </c>
      <c r="F71" s="2">
        <v>5</v>
      </c>
      <c r="G71" s="2">
        <v>66</v>
      </c>
      <c r="H71" s="2">
        <v>93</v>
      </c>
      <c r="I71" s="2">
        <v>88</v>
      </c>
      <c r="J71" s="2">
        <v>77.349999999999994</v>
      </c>
      <c r="K71" s="2" t="s">
        <v>18</v>
      </c>
      <c r="L71" s="1">
        <f t="shared" si="4"/>
        <v>82.333333333333329</v>
      </c>
      <c r="M71" s="2" t="str">
        <f t="shared" si="5"/>
        <v>Pass</v>
      </c>
      <c r="N71" s="2" t="str">
        <f t="shared" si="3"/>
        <v>Stable</v>
      </c>
    </row>
    <row r="72" spans="1:14" x14ac:dyDescent="0.3">
      <c r="A72" s="2" t="s">
        <v>156</v>
      </c>
      <c r="B72" s="2" t="s">
        <v>157</v>
      </c>
      <c r="C72" s="2" t="s">
        <v>21</v>
      </c>
      <c r="D72" s="2">
        <v>21</v>
      </c>
      <c r="E72" s="2" t="s">
        <v>50</v>
      </c>
      <c r="F72" s="2">
        <v>2</v>
      </c>
      <c r="G72" s="2">
        <v>97</v>
      </c>
      <c r="H72" s="2">
        <v>81</v>
      </c>
      <c r="I72" s="2">
        <v>38</v>
      </c>
      <c r="J72" s="2">
        <v>86.33</v>
      </c>
      <c r="K72" s="2" t="s">
        <v>28</v>
      </c>
      <c r="L72" s="1">
        <f t="shared" si="4"/>
        <v>72</v>
      </c>
      <c r="M72" s="2" t="str">
        <f t="shared" si="5"/>
        <v>Fail</v>
      </c>
      <c r="N72" s="2" t="str">
        <f t="shared" si="3"/>
        <v>High Risk</v>
      </c>
    </row>
    <row r="73" spans="1:14" x14ac:dyDescent="0.3">
      <c r="A73" s="2" t="s">
        <v>158</v>
      </c>
      <c r="B73" s="2" t="s">
        <v>159</v>
      </c>
      <c r="C73" s="2" t="s">
        <v>16</v>
      </c>
      <c r="D73" s="2">
        <v>21</v>
      </c>
      <c r="E73" s="2" t="s">
        <v>17</v>
      </c>
      <c r="F73" s="2">
        <v>4</v>
      </c>
      <c r="G73" s="2">
        <v>49</v>
      </c>
      <c r="H73" s="2">
        <v>66</v>
      </c>
      <c r="I73" s="2">
        <v>71</v>
      </c>
      <c r="J73" s="2">
        <v>95.02</v>
      </c>
      <c r="K73" s="2" t="s">
        <v>22</v>
      </c>
      <c r="L73" s="1">
        <f t="shared" si="4"/>
        <v>62</v>
      </c>
      <c r="M73" s="2" t="str">
        <f t="shared" si="5"/>
        <v>Pass</v>
      </c>
      <c r="N73" s="2" t="str">
        <f t="shared" si="3"/>
        <v>Stable</v>
      </c>
    </row>
    <row r="74" spans="1:14" x14ac:dyDescent="0.3">
      <c r="A74" s="2" t="s">
        <v>160</v>
      </c>
      <c r="B74" s="2" t="s">
        <v>161</v>
      </c>
      <c r="C74" s="2" t="s">
        <v>16</v>
      </c>
      <c r="D74" s="2">
        <v>20</v>
      </c>
      <c r="E74" s="2" t="s">
        <v>37</v>
      </c>
      <c r="F74" s="2">
        <v>3</v>
      </c>
      <c r="G74" s="2">
        <v>78</v>
      </c>
      <c r="H74" s="2">
        <v>89</v>
      </c>
      <c r="I74" s="2">
        <v>95</v>
      </c>
      <c r="J74" s="2">
        <v>61.59</v>
      </c>
      <c r="K74" s="2" t="s">
        <v>18</v>
      </c>
      <c r="L74" s="1">
        <f t="shared" si="4"/>
        <v>87.333333333333329</v>
      </c>
      <c r="M74" s="2" t="str">
        <f t="shared" si="5"/>
        <v>Pass</v>
      </c>
      <c r="N74" s="2" t="str">
        <f t="shared" si="3"/>
        <v>Stable</v>
      </c>
    </row>
    <row r="75" spans="1:14" x14ac:dyDescent="0.3">
      <c r="A75" s="2" t="s">
        <v>162</v>
      </c>
      <c r="B75" s="2" t="s">
        <v>163</v>
      </c>
      <c r="C75" s="2" t="s">
        <v>16</v>
      </c>
      <c r="D75" s="2">
        <v>21</v>
      </c>
      <c r="E75" s="2" t="s">
        <v>34</v>
      </c>
      <c r="F75" s="2">
        <v>6</v>
      </c>
      <c r="G75" s="2">
        <v>63</v>
      </c>
      <c r="H75" s="2">
        <v>71</v>
      </c>
      <c r="I75" s="2">
        <v>97</v>
      </c>
      <c r="J75" s="2">
        <v>78.5</v>
      </c>
      <c r="K75" s="2" t="s">
        <v>28</v>
      </c>
      <c r="L75" s="1">
        <f t="shared" si="4"/>
        <v>77</v>
      </c>
      <c r="M75" s="2" t="str">
        <f t="shared" si="5"/>
        <v>Pass</v>
      </c>
      <c r="N75" s="2" t="str">
        <f t="shared" si="3"/>
        <v>Stable</v>
      </c>
    </row>
    <row r="76" spans="1:14" x14ac:dyDescent="0.3">
      <c r="A76" s="2" t="s">
        <v>164</v>
      </c>
      <c r="B76" s="2" t="s">
        <v>143</v>
      </c>
      <c r="C76" s="2" t="s">
        <v>16</v>
      </c>
      <c r="D76" s="2">
        <v>21</v>
      </c>
      <c r="E76" s="2" t="s">
        <v>50</v>
      </c>
      <c r="F76" s="2">
        <v>6</v>
      </c>
      <c r="G76" s="2">
        <v>39</v>
      </c>
      <c r="H76" s="2">
        <v>39</v>
      </c>
      <c r="I76" s="2">
        <v>95</v>
      </c>
      <c r="J76" s="2">
        <v>64.73</v>
      </c>
      <c r="K76" s="2" t="s">
        <v>31</v>
      </c>
      <c r="L76" s="1">
        <f t="shared" si="4"/>
        <v>57.666666666666664</v>
      </c>
      <c r="M76" s="2" t="str">
        <f t="shared" si="5"/>
        <v>Fail</v>
      </c>
      <c r="N76" s="2" t="str">
        <f t="shared" si="3"/>
        <v>High Risk</v>
      </c>
    </row>
    <row r="77" spans="1:14" x14ac:dyDescent="0.3">
      <c r="A77" s="2" t="s">
        <v>165</v>
      </c>
      <c r="B77" s="2" t="s">
        <v>166</v>
      </c>
      <c r="C77" s="2" t="s">
        <v>21</v>
      </c>
      <c r="D77" s="2">
        <v>22</v>
      </c>
      <c r="E77" s="2" t="s">
        <v>27</v>
      </c>
      <c r="F77" s="2">
        <v>4</v>
      </c>
      <c r="G77" s="2">
        <v>100</v>
      </c>
      <c r="H77" s="2">
        <v>35</v>
      </c>
      <c r="I77" s="2">
        <v>49</v>
      </c>
      <c r="J77" s="2">
        <v>70.13</v>
      </c>
      <c r="K77" s="2" t="s">
        <v>22</v>
      </c>
      <c r="L77" s="1">
        <f t="shared" si="4"/>
        <v>61.333333333333336</v>
      </c>
      <c r="M77" s="2" t="str">
        <f t="shared" si="5"/>
        <v>Fail</v>
      </c>
      <c r="N77" s="2" t="str">
        <f t="shared" si="3"/>
        <v>High Risk</v>
      </c>
    </row>
    <row r="78" spans="1:14" x14ac:dyDescent="0.3">
      <c r="A78" s="2" t="s">
        <v>167</v>
      </c>
      <c r="B78" s="2" t="s">
        <v>168</v>
      </c>
      <c r="C78" s="2" t="s">
        <v>16</v>
      </c>
      <c r="D78" s="2">
        <v>19</v>
      </c>
      <c r="E78" s="2" t="s">
        <v>27</v>
      </c>
      <c r="F78" s="2">
        <v>6</v>
      </c>
      <c r="G78" s="2">
        <v>43</v>
      </c>
      <c r="H78" s="2">
        <v>40</v>
      </c>
      <c r="I78" s="2">
        <v>71</v>
      </c>
      <c r="J78" s="2">
        <v>92.75</v>
      </c>
      <c r="K78" s="2" t="s">
        <v>31</v>
      </c>
      <c r="L78" s="1">
        <f t="shared" si="4"/>
        <v>51.333333333333336</v>
      </c>
      <c r="M78" s="2" t="str">
        <f t="shared" si="5"/>
        <v>Pass</v>
      </c>
      <c r="N78" s="2" t="str">
        <f t="shared" si="3"/>
        <v>Monitor</v>
      </c>
    </row>
    <row r="79" spans="1:14" x14ac:dyDescent="0.3">
      <c r="A79" s="2" t="s">
        <v>169</v>
      </c>
      <c r="B79" s="2" t="s">
        <v>170</v>
      </c>
      <c r="C79" s="2" t="s">
        <v>21</v>
      </c>
      <c r="D79" s="2">
        <v>18</v>
      </c>
      <c r="E79" s="2" t="s">
        <v>37</v>
      </c>
      <c r="F79" s="2">
        <v>5</v>
      </c>
      <c r="G79" s="2">
        <v>61</v>
      </c>
      <c r="H79" s="2">
        <v>51</v>
      </c>
      <c r="I79" s="2">
        <v>47</v>
      </c>
      <c r="J79" s="2">
        <v>99.33</v>
      </c>
      <c r="K79" s="2" t="s">
        <v>31</v>
      </c>
      <c r="L79" s="1">
        <f t="shared" si="4"/>
        <v>53</v>
      </c>
      <c r="M79" s="2" t="str">
        <f t="shared" si="5"/>
        <v>Pass</v>
      </c>
      <c r="N79" s="2" t="str">
        <f t="shared" si="3"/>
        <v>Monitor</v>
      </c>
    </row>
    <row r="80" spans="1:14" x14ac:dyDescent="0.3">
      <c r="A80" s="2" t="s">
        <v>171</v>
      </c>
      <c r="B80" s="2" t="s">
        <v>172</v>
      </c>
      <c r="C80" s="2" t="s">
        <v>16</v>
      </c>
      <c r="D80" s="2">
        <v>19</v>
      </c>
      <c r="E80" s="2" t="s">
        <v>27</v>
      </c>
      <c r="F80" s="2">
        <v>3</v>
      </c>
      <c r="G80" s="2">
        <v>70</v>
      </c>
      <c r="H80" s="2">
        <v>48</v>
      </c>
      <c r="I80" s="2">
        <v>68</v>
      </c>
      <c r="J80" s="2">
        <v>63.01</v>
      </c>
      <c r="K80" s="2" t="s">
        <v>22</v>
      </c>
      <c r="L80" s="1">
        <f t="shared" si="4"/>
        <v>62</v>
      </c>
      <c r="M80" s="2" t="str">
        <f t="shared" si="5"/>
        <v>Pass</v>
      </c>
      <c r="N80" s="2" t="str">
        <f t="shared" si="3"/>
        <v>Stable</v>
      </c>
    </row>
    <row r="81" spans="1:14" x14ac:dyDescent="0.3">
      <c r="A81" s="2" t="s">
        <v>173</v>
      </c>
      <c r="B81" s="2" t="s">
        <v>174</v>
      </c>
      <c r="C81" s="2" t="s">
        <v>16</v>
      </c>
      <c r="D81" s="2">
        <v>22</v>
      </c>
      <c r="E81" s="2" t="s">
        <v>34</v>
      </c>
      <c r="F81" s="2">
        <v>6</v>
      </c>
      <c r="G81" s="2">
        <v>44</v>
      </c>
      <c r="H81" s="2">
        <v>95</v>
      </c>
      <c r="I81" s="2">
        <v>92</v>
      </c>
      <c r="J81" s="2">
        <v>78.37</v>
      </c>
      <c r="K81" s="2" t="s">
        <v>28</v>
      </c>
      <c r="L81" s="1">
        <f t="shared" si="4"/>
        <v>77</v>
      </c>
      <c r="M81" s="2" t="str">
        <f t="shared" si="5"/>
        <v>Pass</v>
      </c>
      <c r="N81" s="2" t="str">
        <f t="shared" si="3"/>
        <v>Stable</v>
      </c>
    </row>
    <row r="82" spans="1:14" x14ac:dyDescent="0.3">
      <c r="A82" s="2" t="s">
        <v>175</v>
      </c>
      <c r="B82" s="2" t="s">
        <v>95</v>
      </c>
      <c r="C82" s="2" t="s">
        <v>16</v>
      </c>
      <c r="D82" s="2">
        <v>23</v>
      </c>
      <c r="E82" s="2" t="s">
        <v>34</v>
      </c>
      <c r="F82" s="2">
        <v>5</v>
      </c>
      <c r="G82" s="2">
        <v>98</v>
      </c>
      <c r="H82" s="2">
        <v>67</v>
      </c>
      <c r="I82" s="2">
        <v>77</v>
      </c>
      <c r="J82" s="2">
        <v>74.94</v>
      </c>
      <c r="K82" s="2" t="s">
        <v>18</v>
      </c>
      <c r="L82" s="1">
        <f t="shared" si="4"/>
        <v>80.666666666666671</v>
      </c>
      <c r="M82" s="2" t="str">
        <f t="shared" si="5"/>
        <v>Pass</v>
      </c>
      <c r="N82" s="2" t="str">
        <f t="shared" si="3"/>
        <v>Stable</v>
      </c>
    </row>
    <row r="83" spans="1:14" x14ac:dyDescent="0.3">
      <c r="A83" s="2" t="s">
        <v>176</v>
      </c>
      <c r="B83" s="2" t="s">
        <v>177</v>
      </c>
      <c r="C83" s="2" t="s">
        <v>21</v>
      </c>
      <c r="D83" s="2">
        <v>22</v>
      </c>
      <c r="E83" s="2" t="s">
        <v>37</v>
      </c>
      <c r="F83" s="2">
        <v>3</v>
      </c>
      <c r="G83" s="2">
        <v>97</v>
      </c>
      <c r="H83" s="2">
        <v>64</v>
      </c>
      <c r="I83" s="2">
        <v>92</v>
      </c>
      <c r="J83" s="2">
        <v>99.39</v>
      </c>
      <c r="K83" s="2" t="s">
        <v>18</v>
      </c>
      <c r="L83" s="1">
        <f t="shared" si="4"/>
        <v>84.333333333333329</v>
      </c>
      <c r="M83" s="2" t="str">
        <f t="shared" si="5"/>
        <v>Pass</v>
      </c>
      <c r="N83" s="2" t="str">
        <f t="shared" si="3"/>
        <v>Stable</v>
      </c>
    </row>
    <row r="84" spans="1:14" x14ac:dyDescent="0.3">
      <c r="A84" s="2" t="s">
        <v>178</v>
      </c>
      <c r="B84" s="2" t="s">
        <v>179</v>
      </c>
      <c r="C84" s="2" t="s">
        <v>21</v>
      </c>
      <c r="D84" s="2">
        <v>20</v>
      </c>
      <c r="E84" s="2" t="s">
        <v>37</v>
      </c>
      <c r="F84" s="2">
        <v>4</v>
      </c>
      <c r="G84" s="2">
        <v>70</v>
      </c>
      <c r="H84" s="2">
        <v>69</v>
      </c>
      <c r="I84" s="2">
        <v>37</v>
      </c>
      <c r="J84" s="2">
        <v>78.989999999999995</v>
      </c>
      <c r="K84" s="2" t="s">
        <v>31</v>
      </c>
      <c r="L84" s="1">
        <f t="shared" si="4"/>
        <v>58.666666666666664</v>
      </c>
      <c r="M84" s="2" t="str">
        <f t="shared" si="5"/>
        <v>Fail</v>
      </c>
      <c r="N84" s="2" t="str">
        <f t="shared" si="3"/>
        <v>High Risk</v>
      </c>
    </row>
    <row r="85" spans="1:14" x14ac:dyDescent="0.3">
      <c r="A85" s="2" t="s">
        <v>180</v>
      </c>
      <c r="B85" s="2" t="s">
        <v>181</v>
      </c>
      <c r="C85" s="2" t="s">
        <v>21</v>
      </c>
      <c r="D85" s="2">
        <v>22</v>
      </c>
      <c r="E85" s="2" t="s">
        <v>34</v>
      </c>
      <c r="F85" s="2">
        <v>6</v>
      </c>
      <c r="G85" s="2">
        <v>83</v>
      </c>
      <c r="H85" s="2">
        <v>73</v>
      </c>
      <c r="I85" s="2">
        <v>42</v>
      </c>
      <c r="J85" s="2">
        <v>95.23</v>
      </c>
      <c r="K85" s="2" t="s">
        <v>22</v>
      </c>
      <c r="L85" s="1">
        <f t="shared" si="4"/>
        <v>66</v>
      </c>
      <c r="M85" s="2" t="str">
        <f t="shared" si="5"/>
        <v>Pass</v>
      </c>
      <c r="N85" s="2" t="str">
        <f t="shared" si="3"/>
        <v>Stable</v>
      </c>
    </row>
    <row r="86" spans="1:14" x14ac:dyDescent="0.3">
      <c r="A86" s="2" t="s">
        <v>182</v>
      </c>
      <c r="B86" s="2" t="s">
        <v>47</v>
      </c>
      <c r="C86" s="2" t="s">
        <v>21</v>
      </c>
      <c r="D86" s="2">
        <v>23</v>
      </c>
      <c r="E86" s="2" t="s">
        <v>50</v>
      </c>
      <c r="F86" s="2">
        <v>2</v>
      </c>
      <c r="G86" s="2">
        <v>45</v>
      </c>
      <c r="H86" s="2">
        <v>37</v>
      </c>
      <c r="I86" s="2">
        <v>73</v>
      </c>
      <c r="J86" s="2">
        <v>85.62</v>
      </c>
      <c r="K86" s="2" t="s">
        <v>31</v>
      </c>
      <c r="L86" s="1">
        <f t="shared" si="4"/>
        <v>51.666666666666664</v>
      </c>
      <c r="M86" s="2" t="str">
        <f t="shared" si="5"/>
        <v>Fail</v>
      </c>
      <c r="N86" s="2" t="str">
        <f t="shared" si="3"/>
        <v>High Risk</v>
      </c>
    </row>
    <row r="87" spans="1:14" x14ac:dyDescent="0.3">
      <c r="A87" s="2" t="s">
        <v>183</v>
      </c>
      <c r="B87" s="2" t="s">
        <v>184</v>
      </c>
      <c r="C87" s="2" t="s">
        <v>16</v>
      </c>
      <c r="D87" s="2">
        <v>23</v>
      </c>
      <c r="E87" s="2" t="s">
        <v>34</v>
      </c>
      <c r="F87" s="2">
        <v>3</v>
      </c>
      <c r="G87" s="2">
        <v>72</v>
      </c>
      <c r="H87" s="2">
        <v>35</v>
      </c>
      <c r="I87" s="2">
        <v>54</v>
      </c>
      <c r="J87" s="2">
        <v>93.76</v>
      </c>
      <c r="K87" s="2" t="s">
        <v>31</v>
      </c>
      <c r="L87" s="1">
        <f t="shared" si="4"/>
        <v>53.666666666666664</v>
      </c>
      <c r="M87" s="2" t="str">
        <f t="shared" si="5"/>
        <v>Fail</v>
      </c>
      <c r="N87" s="2" t="str">
        <f t="shared" si="3"/>
        <v>High Risk</v>
      </c>
    </row>
    <row r="88" spans="1:14" x14ac:dyDescent="0.3">
      <c r="A88" s="2" t="s">
        <v>185</v>
      </c>
      <c r="B88" s="2" t="s">
        <v>143</v>
      </c>
      <c r="C88" s="2" t="s">
        <v>21</v>
      </c>
      <c r="D88" s="2">
        <v>21</v>
      </c>
      <c r="E88" s="2" t="s">
        <v>37</v>
      </c>
      <c r="F88" s="2">
        <v>4</v>
      </c>
      <c r="G88" s="2">
        <v>64</v>
      </c>
      <c r="H88" s="2">
        <v>68</v>
      </c>
      <c r="I88" s="2">
        <v>95</v>
      </c>
      <c r="J88" s="2">
        <v>70.540000000000006</v>
      </c>
      <c r="K88" s="2" t="s">
        <v>28</v>
      </c>
      <c r="L88" s="1">
        <f t="shared" si="4"/>
        <v>75.666666666666671</v>
      </c>
      <c r="M88" s="2" t="str">
        <f t="shared" si="5"/>
        <v>Pass</v>
      </c>
      <c r="N88" s="2" t="str">
        <f t="shared" si="3"/>
        <v>Stable</v>
      </c>
    </row>
    <row r="89" spans="1:14" x14ac:dyDescent="0.3">
      <c r="A89" s="2" t="s">
        <v>186</v>
      </c>
      <c r="B89" s="2" t="s">
        <v>147</v>
      </c>
      <c r="C89" s="2" t="s">
        <v>16</v>
      </c>
      <c r="D89" s="2">
        <v>23</v>
      </c>
      <c r="E89" s="2" t="s">
        <v>34</v>
      </c>
      <c r="F89" s="2">
        <v>6</v>
      </c>
      <c r="G89" s="2">
        <v>72</v>
      </c>
      <c r="H89" s="2">
        <v>52</v>
      </c>
      <c r="I89" s="2">
        <v>43</v>
      </c>
      <c r="J89" s="2">
        <v>69.73</v>
      </c>
      <c r="K89" s="2" t="s">
        <v>31</v>
      </c>
      <c r="L89" s="1">
        <f t="shared" si="4"/>
        <v>55.666666666666664</v>
      </c>
      <c r="M89" s="2" t="str">
        <f t="shared" si="5"/>
        <v>Pass</v>
      </c>
      <c r="N89" s="2" t="str">
        <f t="shared" si="3"/>
        <v>Monitor</v>
      </c>
    </row>
    <row r="90" spans="1:14" x14ac:dyDescent="0.3">
      <c r="A90" s="2" t="s">
        <v>187</v>
      </c>
      <c r="B90" s="2" t="s">
        <v>188</v>
      </c>
      <c r="C90" s="2" t="s">
        <v>16</v>
      </c>
      <c r="D90" s="2">
        <v>20</v>
      </c>
      <c r="E90" s="2" t="s">
        <v>27</v>
      </c>
      <c r="F90" s="2">
        <v>3</v>
      </c>
      <c r="G90" s="2">
        <v>36</v>
      </c>
      <c r="H90" s="2">
        <v>53</v>
      </c>
      <c r="I90" s="2">
        <v>75</v>
      </c>
      <c r="J90" s="2">
        <v>91.33</v>
      </c>
      <c r="K90" s="2" t="s">
        <v>31</v>
      </c>
      <c r="L90" s="1">
        <f t="shared" si="4"/>
        <v>54.666666666666664</v>
      </c>
      <c r="M90" s="2" t="str">
        <f t="shared" si="5"/>
        <v>Fail</v>
      </c>
      <c r="N90" s="2" t="str">
        <f t="shared" si="3"/>
        <v>High Risk</v>
      </c>
    </row>
    <row r="91" spans="1:14" x14ac:dyDescent="0.3">
      <c r="A91" s="2" t="s">
        <v>189</v>
      </c>
      <c r="B91" s="2" t="s">
        <v>57</v>
      </c>
      <c r="C91" s="2" t="s">
        <v>16</v>
      </c>
      <c r="D91" s="2">
        <v>21</v>
      </c>
      <c r="E91" s="2" t="s">
        <v>50</v>
      </c>
      <c r="F91" s="2">
        <v>3</v>
      </c>
      <c r="G91" s="2">
        <v>59</v>
      </c>
      <c r="H91" s="2">
        <v>55</v>
      </c>
      <c r="I91" s="2">
        <v>50</v>
      </c>
      <c r="J91" s="2">
        <v>87.39</v>
      </c>
      <c r="K91" s="2" t="s">
        <v>31</v>
      </c>
      <c r="L91" s="1">
        <f t="shared" si="4"/>
        <v>54.666666666666664</v>
      </c>
      <c r="M91" s="2" t="str">
        <f t="shared" si="5"/>
        <v>Pass</v>
      </c>
      <c r="N91" s="2" t="str">
        <f t="shared" si="3"/>
        <v>Monitor</v>
      </c>
    </row>
    <row r="92" spans="1:14" x14ac:dyDescent="0.3">
      <c r="A92" s="2" t="s">
        <v>190</v>
      </c>
      <c r="B92" s="2" t="s">
        <v>191</v>
      </c>
      <c r="C92" s="2" t="s">
        <v>21</v>
      </c>
      <c r="D92" s="2">
        <v>19</v>
      </c>
      <c r="E92" s="2" t="s">
        <v>17</v>
      </c>
      <c r="F92" s="2">
        <v>1</v>
      </c>
      <c r="G92" s="2">
        <v>62</v>
      </c>
      <c r="H92" s="2">
        <v>68</v>
      </c>
      <c r="I92" s="2">
        <v>79</v>
      </c>
      <c r="J92" s="2">
        <v>98.35</v>
      </c>
      <c r="K92" s="2" t="s">
        <v>22</v>
      </c>
      <c r="L92" s="1">
        <f t="shared" si="4"/>
        <v>69.666666666666671</v>
      </c>
      <c r="M92" s="2" t="str">
        <f t="shared" si="5"/>
        <v>Pass</v>
      </c>
      <c r="N92" s="2" t="str">
        <f t="shared" si="3"/>
        <v>Stable</v>
      </c>
    </row>
    <row r="93" spans="1:14" x14ac:dyDescent="0.3">
      <c r="A93" s="2" t="s">
        <v>192</v>
      </c>
      <c r="B93" s="2" t="s">
        <v>155</v>
      </c>
      <c r="C93" s="2" t="s">
        <v>21</v>
      </c>
      <c r="D93" s="2">
        <v>19</v>
      </c>
      <c r="E93" s="2" t="s">
        <v>34</v>
      </c>
      <c r="F93" s="2">
        <v>2</v>
      </c>
      <c r="G93" s="2">
        <v>78</v>
      </c>
      <c r="H93" s="2">
        <v>88</v>
      </c>
      <c r="I93" s="2">
        <v>90</v>
      </c>
      <c r="J93" s="2">
        <v>79</v>
      </c>
      <c r="K93" s="2" t="s">
        <v>18</v>
      </c>
      <c r="L93" s="1">
        <f t="shared" si="4"/>
        <v>85.333333333333329</v>
      </c>
      <c r="M93" s="2" t="str">
        <f t="shared" si="5"/>
        <v>Pass</v>
      </c>
      <c r="N93" s="2" t="str">
        <f t="shared" si="3"/>
        <v>Stable</v>
      </c>
    </row>
    <row r="94" spans="1:14" x14ac:dyDescent="0.3">
      <c r="A94" s="2" t="s">
        <v>193</v>
      </c>
      <c r="B94" s="2" t="s">
        <v>194</v>
      </c>
      <c r="C94" s="2" t="s">
        <v>21</v>
      </c>
      <c r="D94" s="2">
        <v>20</v>
      </c>
      <c r="E94" s="2" t="s">
        <v>27</v>
      </c>
      <c r="F94" s="2">
        <v>3</v>
      </c>
      <c r="G94" s="2">
        <v>59</v>
      </c>
      <c r="H94" s="2">
        <v>78</v>
      </c>
      <c r="I94" s="2">
        <v>66</v>
      </c>
      <c r="J94" s="2">
        <v>87.04</v>
      </c>
      <c r="K94" s="2" t="s">
        <v>22</v>
      </c>
      <c r="L94" s="1">
        <f t="shared" si="4"/>
        <v>67.666666666666671</v>
      </c>
      <c r="M94" s="2" t="str">
        <f t="shared" si="5"/>
        <v>Pass</v>
      </c>
      <c r="N94" s="2" t="str">
        <f t="shared" si="3"/>
        <v>Stable</v>
      </c>
    </row>
    <row r="95" spans="1:14" x14ac:dyDescent="0.3">
      <c r="A95" s="2" t="s">
        <v>195</v>
      </c>
      <c r="B95" s="2" t="s">
        <v>196</v>
      </c>
      <c r="C95" s="2" t="s">
        <v>16</v>
      </c>
      <c r="D95" s="2">
        <v>18</v>
      </c>
      <c r="E95" s="2" t="s">
        <v>50</v>
      </c>
      <c r="F95" s="2">
        <v>2</v>
      </c>
      <c r="G95" s="2">
        <v>63</v>
      </c>
      <c r="H95" s="2">
        <v>44</v>
      </c>
      <c r="I95" s="2">
        <v>87</v>
      </c>
      <c r="J95" s="2">
        <v>94.07</v>
      </c>
      <c r="K95" s="2" t="s">
        <v>22</v>
      </c>
      <c r="L95" s="1">
        <f t="shared" si="4"/>
        <v>64.666666666666671</v>
      </c>
      <c r="M95" s="2" t="str">
        <f t="shared" si="5"/>
        <v>Pass</v>
      </c>
      <c r="N95" s="2" t="str">
        <f t="shared" si="3"/>
        <v>Stable</v>
      </c>
    </row>
    <row r="96" spans="1:14" x14ac:dyDescent="0.3">
      <c r="A96" s="2" t="s">
        <v>197</v>
      </c>
      <c r="B96" s="2" t="s">
        <v>145</v>
      </c>
      <c r="C96" s="2" t="s">
        <v>21</v>
      </c>
      <c r="D96" s="2">
        <v>21</v>
      </c>
      <c r="E96" s="2" t="s">
        <v>27</v>
      </c>
      <c r="F96" s="2">
        <v>4</v>
      </c>
      <c r="G96" s="2">
        <v>75</v>
      </c>
      <c r="H96" s="2">
        <v>37</v>
      </c>
      <c r="I96" s="2">
        <v>56</v>
      </c>
      <c r="J96" s="2">
        <v>75.540000000000006</v>
      </c>
      <c r="K96" s="2" t="s">
        <v>31</v>
      </c>
      <c r="L96" s="1">
        <f t="shared" si="4"/>
        <v>56</v>
      </c>
      <c r="M96" s="2" t="str">
        <f t="shared" si="5"/>
        <v>Fail</v>
      </c>
      <c r="N96" s="2" t="str">
        <f t="shared" si="3"/>
        <v>High Risk</v>
      </c>
    </row>
    <row r="97" spans="1:14" x14ac:dyDescent="0.3">
      <c r="A97" s="2" t="s">
        <v>198</v>
      </c>
      <c r="B97" s="2" t="s">
        <v>107</v>
      </c>
      <c r="C97" s="2" t="s">
        <v>16</v>
      </c>
      <c r="D97" s="2">
        <v>20</v>
      </c>
      <c r="E97" s="2" t="s">
        <v>50</v>
      </c>
      <c r="F97" s="2">
        <v>6</v>
      </c>
      <c r="G97" s="2">
        <v>88</v>
      </c>
      <c r="H97" s="2">
        <v>51</v>
      </c>
      <c r="I97" s="2">
        <v>61</v>
      </c>
      <c r="J97" s="2">
        <v>97.32</v>
      </c>
      <c r="K97" s="2" t="s">
        <v>22</v>
      </c>
      <c r="L97" s="1">
        <f t="shared" si="4"/>
        <v>66.666666666666671</v>
      </c>
      <c r="M97" s="2" t="str">
        <f t="shared" si="5"/>
        <v>Pass</v>
      </c>
      <c r="N97" s="2" t="str">
        <f t="shared" si="3"/>
        <v>Stable</v>
      </c>
    </row>
    <row r="98" spans="1:14" x14ac:dyDescent="0.3">
      <c r="A98" s="2" t="s">
        <v>199</v>
      </c>
      <c r="B98" s="2" t="s">
        <v>57</v>
      </c>
      <c r="C98" s="2" t="s">
        <v>21</v>
      </c>
      <c r="D98" s="2">
        <v>22</v>
      </c>
      <c r="E98" s="2" t="s">
        <v>17</v>
      </c>
      <c r="F98" s="2">
        <v>3</v>
      </c>
      <c r="G98" s="2">
        <v>88</v>
      </c>
      <c r="H98" s="2">
        <v>95</v>
      </c>
      <c r="I98" s="2">
        <v>61</v>
      </c>
      <c r="J98" s="2">
        <v>90.83</v>
      </c>
      <c r="K98" s="2" t="s">
        <v>18</v>
      </c>
      <c r="L98" s="1">
        <f t="shared" si="4"/>
        <v>81.333333333333329</v>
      </c>
      <c r="M98" s="2" t="str">
        <f t="shared" si="5"/>
        <v>Pass</v>
      </c>
      <c r="N98" s="2" t="str">
        <f t="shared" si="3"/>
        <v>Stable</v>
      </c>
    </row>
    <row r="99" spans="1:14" x14ac:dyDescent="0.3">
      <c r="A99" s="2" t="s">
        <v>200</v>
      </c>
      <c r="B99" s="2" t="s">
        <v>70</v>
      </c>
      <c r="C99" s="2" t="s">
        <v>16</v>
      </c>
      <c r="D99" s="2">
        <v>22</v>
      </c>
      <c r="E99" s="2" t="s">
        <v>50</v>
      </c>
      <c r="F99" s="2">
        <v>3</v>
      </c>
      <c r="G99" s="2">
        <v>97</v>
      </c>
      <c r="H99" s="2">
        <v>91</v>
      </c>
      <c r="I99" s="2">
        <v>68</v>
      </c>
      <c r="J99" s="2">
        <v>69.760000000000005</v>
      </c>
      <c r="K99" s="2" t="s">
        <v>18</v>
      </c>
      <c r="L99" s="1">
        <f t="shared" si="4"/>
        <v>85.333333333333329</v>
      </c>
      <c r="M99" s="2" t="str">
        <f t="shared" si="5"/>
        <v>Pass</v>
      </c>
      <c r="N99" s="2" t="str">
        <f t="shared" si="3"/>
        <v>Stable</v>
      </c>
    </row>
    <row r="100" spans="1:14" x14ac:dyDescent="0.3">
      <c r="A100" s="2" t="s">
        <v>201</v>
      </c>
      <c r="B100" s="2" t="s">
        <v>202</v>
      </c>
      <c r="C100" s="2" t="s">
        <v>21</v>
      </c>
      <c r="D100" s="2">
        <v>18</v>
      </c>
      <c r="E100" s="2" t="s">
        <v>34</v>
      </c>
      <c r="F100" s="2">
        <v>6</v>
      </c>
      <c r="G100" s="2">
        <v>97</v>
      </c>
      <c r="H100" s="2">
        <v>96</v>
      </c>
      <c r="I100" s="2">
        <v>46</v>
      </c>
      <c r="J100" s="2">
        <v>84.99</v>
      </c>
      <c r="K100" s="2" t="s">
        <v>28</v>
      </c>
      <c r="L100" s="1">
        <f t="shared" si="4"/>
        <v>79.666666666666671</v>
      </c>
      <c r="M100" s="2" t="str">
        <f t="shared" si="5"/>
        <v>Pass</v>
      </c>
      <c r="N100" s="2" t="str">
        <f t="shared" si="3"/>
        <v>Stable</v>
      </c>
    </row>
    <row r="101" spans="1:14" x14ac:dyDescent="0.3">
      <c r="A101" s="2" t="s">
        <v>203</v>
      </c>
      <c r="B101" s="2" t="s">
        <v>204</v>
      </c>
      <c r="C101" s="2" t="s">
        <v>21</v>
      </c>
      <c r="D101" s="2">
        <v>19</v>
      </c>
      <c r="E101" s="2" t="s">
        <v>37</v>
      </c>
      <c r="F101" s="2">
        <v>3</v>
      </c>
      <c r="G101" s="2">
        <v>97</v>
      </c>
      <c r="H101" s="2">
        <v>51</v>
      </c>
      <c r="I101" s="2">
        <v>44</v>
      </c>
      <c r="J101" s="2">
        <v>78.44</v>
      </c>
      <c r="K101" s="2" t="s">
        <v>22</v>
      </c>
      <c r="L101" s="1">
        <f t="shared" si="4"/>
        <v>64</v>
      </c>
      <c r="M101" s="2" t="str">
        <f t="shared" si="5"/>
        <v>Pass</v>
      </c>
      <c r="N101" s="2" t="str">
        <f t="shared" si="3"/>
        <v>Stable</v>
      </c>
    </row>
    <row r="102" spans="1:14" x14ac:dyDescent="0.3">
      <c r="A102" s="2" t="s">
        <v>205</v>
      </c>
      <c r="B102" s="2" t="s">
        <v>206</v>
      </c>
      <c r="C102" s="2" t="s">
        <v>21</v>
      </c>
      <c r="D102" s="2">
        <v>23</v>
      </c>
      <c r="E102" s="2" t="s">
        <v>27</v>
      </c>
      <c r="F102" s="2">
        <v>5</v>
      </c>
      <c r="G102" s="2">
        <v>56</v>
      </c>
      <c r="H102" s="2">
        <v>94</v>
      </c>
      <c r="I102" s="2">
        <v>40</v>
      </c>
      <c r="J102" s="2">
        <v>84.92</v>
      </c>
      <c r="K102" s="2" t="s">
        <v>22</v>
      </c>
      <c r="L102" s="1">
        <f t="shared" si="4"/>
        <v>63.333333333333336</v>
      </c>
      <c r="M102" s="2" t="str">
        <f t="shared" si="5"/>
        <v>Pass</v>
      </c>
      <c r="N102" s="2" t="str">
        <f t="shared" si="3"/>
        <v>Stable</v>
      </c>
    </row>
    <row r="103" spans="1:14" x14ac:dyDescent="0.3">
      <c r="A103" s="2" t="s">
        <v>207</v>
      </c>
      <c r="B103" s="2" t="s">
        <v>33</v>
      </c>
      <c r="C103" s="2" t="s">
        <v>16</v>
      </c>
      <c r="D103" s="2">
        <v>18</v>
      </c>
      <c r="E103" s="2" t="s">
        <v>17</v>
      </c>
      <c r="F103" s="2">
        <v>1</v>
      </c>
      <c r="G103" s="2">
        <v>54</v>
      </c>
      <c r="H103" s="2">
        <v>59</v>
      </c>
      <c r="I103" s="2">
        <v>57</v>
      </c>
      <c r="J103" s="2">
        <v>61.16</v>
      </c>
      <c r="K103" s="2" t="s">
        <v>31</v>
      </c>
      <c r="L103" s="1">
        <f t="shared" si="4"/>
        <v>56.666666666666664</v>
      </c>
      <c r="M103" s="2" t="str">
        <f t="shared" si="5"/>
        <v>Pass</v>
      </c>
      <c r="N103" s="2" t="str">
        <f t="shared" si="3"/>
        <v>Monitor</v>
      </c>
    </row>
    <row r="104" spans="1:14" x14ac:dyDescent="0.3">
      <c r="A104" s="2" t="s">
        <v>208</v>
      </c>
      <c r="B104" s="2" t="s">
        <v>41</v>
      </c>
      <c r="C104" s="2" t="s">
        <v>16</v>
      </c>
      <c r="D104" s="2">
        <v>22</v>
      </c>
      <c r="E104" s="2" t="s">
        <v>17</v>
      </c>
      <c r="F104" s="2">
        <v>6</v>
      </c>
      <c r="G104" s="2">
        <v>84</v>
      </c>
      <c r="H104" s="2">
        <v>59</v>
      </c>
      <c r="I104" s="2">
        <v>45</v>
      </c>
      <c r="J104" s="2">
        <v>88.61</v>
      </c>
      <c r="K104" s="2" t="s">
        <v>22</v>
      </c>
      <c r="L104" s="1">
        <f t="shared" si="4"/>
        <v>62.666666666666664</v>
      </c>
      <c r="M104" s="2" t="str">
        <f t="shared" si="5"/>
        <v>Pass</v>
      </c>
      <c r="N104" s="2" t="str">
        <f t="shared" si="3"/>
        <v>Stable</v>
      </c>
    </row>
    <row r="105" spans="1:14" x14ac:dyDescent="0.3">
      <c r="A105" s="2" t="s">
        <v>209</v>
      </c>
      <c r="B105" s="2" t="s">
        <v>59</v>
      </c>
      <c r="C105" s="2" t="s">
        <v>16</v>
      </c>
      <c r="D105" s="2">
        <v>19</v>
      </c>
      <c r="E105" s="2" t="s">
        <v>34</v>
      </c>
      <c r="F105" s="2">
        <v>2</v>
      </c>
      <c r="G105" s="2">
        <v>80</v>
      </c>
      <c r="H105" s="2">
        <v>81</v>
      </c>
      <c r="I105" s="2">
        <v>58</v>
      </c>
      <c r="J105" s="2">
        <v>62.17</v>
      </c>
      <c r="K105" s="2" t="s">
        <v>28</v>
      </c>
      <c r="L105" s="1">
        <f t="shared" si="4"/>
        <v>73</v>
      </c>
      <c r="M105" s="2" t="str">
        <f t="shared" si="5"/>
        <v>Pass</v>
      </c>
      <c r="N105" s="2" t="str">
        <f t="shared" si="3"/>
        <v>Stable</v>
      </c>
    </row>
    <row r="106" spans="1:14" x14ac:dyDescent="0.3">
      <c r="A106" s="2" t="s">
        <v>210</v>
      </c>
      <c r="B106" s="2" t="s">
        <v>211</v>
      </c>
      <c r="C106" s="2" t="s">
        <v>16</v>
      </c>
      <c r="D106" s="2">
        <v>22</v>
      </c>
      <c r="E106" s="2" t="s">
        <v>50</v>
      </c>
      <c r="F106" s="2">
        <v>4</v>
      </c>
      <c r="G106" s="2">
        <v>79</v>
      </c>
      <c r="H106" s="2">
        <v>63</v>
      </c>
      <c r="I106" s="2">
        <v>52</v>
      </c>
      <c r="J106" s="2">
        <v>87.19</v>
      </c>
      <c r="K106" s="2" t="s">
        <v>22</v>
      </c>
      <c r="L106" s="1">
        <f t="shared" si="4"/>
        <v>64.666666666666671</v>
      </c>
      <c r="M106" s="2" t="str">
        <f t="shared" si="5"/>
        <v>Pass</v>
      </c>
      <c r="N106" s="2" t="str">
        <f t="shared" si="3"/>
        <v>Stable</v>
      </c>
    </row>
    <row r="107" spans="1:14" x14ac:dyDescent="0.3">
      <c r="A107" s="2" t="s">
        <v>212</v>
      </c>
      <c r="B107" s="2" t="s">
        <v>213</v>
      </c>
      <c r="C107" s="2" t="s">
        <v>21</v>
      </c>
      <c r="D107" s="2">
        <v>21</v>
      </c>
      <c r="E107" s="2" t="s">
        <v>37</v>
      </c>
      <c r="F107" s="2">
        <v>5</v>
      </c>
      <c r="G107" s="2">
        <v>83</v>
      </c>
      <c r="H107" s="2">
        <v>53</v>
      </c>
      <c r="I107" s="2">
        <v>88</v>
      </c>
      <c r="J107" s="2">
        <v>70.430000000000007</v>
      </c>
      <c r="K107" s="2" t="s">
        <v>28</v>
      </c>
      <c r="L107" s="1">
        <f t="shared" si="4"/>
        <v>74.666666666666671</v>
      </c>
      <c r="M107" s="2" t="str">
        <f t="shared" si="5"/>
        <v>Pass</v>
      </c>
      <c r="N107" s="2" t="str">
        <f t="shared" si="3"/>
        <v>Stable</v>
      </c>
    </row>
    <row r="108" spans="1:14" x14ac:dyDescent="0.3">
      <c r="A108" s="2" t="s">
        <v>214</v>
      </c>
      <c r="B108" s="2" t="s">
        <v>215</v>
      </c>
      <c r="C108" s="2" t="s">
        <v>16</v>
      </c>
      <c r="D108" s="2">
        <v>19</v>
      </c>
      <c r="E108" s="2" t="s">
        <v>50</v>
      </c>
      <c r="F108" s="2">
        <v>5</v>
      </c>
      <c r="G108" s="2">
        <v>61</v>
      </c>
      <c r="H108" s="2">
        <v>63</v>
      </c>
      <c r="I108" s="2">
        <v>53</v>
      </c>
      <c r="J108" s="2">
        <v>82.64</v>
      </c>
      <c r="K108" s="2" t="s">
        <v>31</v>
      </c>
      <c r="L108" s="1">
        <f t="shared" si="4"/>
        <v>59</v>
      </c>
      <c r="M108" s="2" t="str">
        <f t="shared" si="5"/>
        <v>Pass</v>
      </c>
      <c r="N108" s="2" t="str">
        <f t="shared" si="3"/>
        <v>Monitor</v>
      </c>
    </row>
    <row r="109" spans="1:14" x14ac:dyDescent="0.3">
      <c r="A109" s="2" t="s">
        <v>216</v>
      </c>
      <c r="B109" s="2" t="s">
        <v>217</v>
      </c>
      <c r="C109" s="2" t="s">
        <v>16</v>
      </c>
      <c r="D109" s="2">
        <v>23</v>
      </c>
      <c r="E109" s="2" t="s">
        <v>50</v>
      </c>
      <c r="F109" s="2">
        <v>5</v>
      </c>
      <c r="G109" s="2">
        <v>91</v>
      </c>
      <c r="H109" s="2">
        <v>38</v>
      </c>
      <c r="I109" s="2">
        <v>45</v>
      </c>
      <c r="J109" s="2">
        <v>79.010000000000005</v>
      </c>
      <c r="K109" s="2" t="s">
        <v>31</v>
      </c>
      <c r="L109" s="1">
        <f t="shared" si="4"/>
        <v>58</v>
      </c>
      <c r="M109" s="2" t="str">
        <f t="shared" si="5"/>
        <v>Fail</v>
      </c>
      <c r="N109" s="2" t="str">
        <f t="shared" si="3"/>
        <v>High Risk</v>
      </c>
    </row>
    <row r="110" spans="1:14" x14ac:dyDescent="0.3">
      <c r="A110" s="2" t="s">
        <v>218</v>
      </c>
      <c r="B110" s="2" t="s">
        <v>30</v>
      </c>
      <c r="C110" s="2" t="s">
        <v>16</v>
      </c>
      <c r="D110" s="2">
        <v>21</v>
      </c>
      <c r="E110" s="2" t="s">
        <v>37</v>
      </c>
      <c r="F110" s="2">
        <v>4</v>
      </c>
      <c r="G110" s="2">
        <v>64</v>
      </c>
      <c r="H110" s="2">
        <v>42</v>
      </c>
      <c r="I110" s="2">
        <v>38</v>
      </c>
      <c r="J110" s="2">
        <v>90.6</v>
      </c>
      <c r="K110" s="2" t="s">
        <v>55</v>
      </c>
      <c r="L110" s="1">
        <f t="shared" si="4"/>
        <v>48</v>
      </c>
      <c r="M110" s="2" t="str">
        <f t="shared" si="5"/>
        <v>Fail</v>
      </c>
      <c r="N110" s="2" t="str">
        <f t="shared" si="3"/>
        <v>High Risk</v>
      </c>
    </row>
    <row r="111" spans="1:14" x14ac:dyDescent="0.3">
      <c r="A111" s="2" t="s">
        <v>219</v>
      </c>
      <c r="B111" s="2" t="s">
        <v>220</v>
      </c>
      <c r="C111" s="2" t="s">
        <v>21</v>
      </c>
      <c r="D111" s="2">
        <v>20</v>
      </c>
      <c r="E111" s="2" t="s">
        <v>50</v>
      </c>
      <c r="F111" s="2">
        <v>3</v>
      </c>
      <c r="G111" s="2">
        <v>98</v>
      </c>
      <c r="H111" s="2">
        <v>92</v>
      </c>
      <c r="I111" s="2">
        <v>64</v>
      </c>
      <c r="J111" s="2">
        <v>77.5</v>
      </c>
      <c r="K111" s="2" t="s">
        <v>18</v>
      </c>
      <c r="L111" s="1">
        <f t="shared" si="4"/>
        <v>84.666666666666671</v>
      </c>
      <c r="M111" s="2" t="str">
        <f t="shared" si="5"/>
        <v>Pass</v>
      </c>
      <c r="N111" s="2" t="str">
        <f t="shared" si="3"/>
        <v>Stable</v>
      </c>
    </row>
    <row r="112" spans="1:14" x14ac:dyDescent="0.3">
      <c r="A112" s="2" t="s">
        <v>221</v>
      </c>
      <c r="B112" s="2" t="s">
        <v>24</v>
      </c>
      <c r="C112" s="2" t="s">
        <v>16</v>
      </c>
      <c r="D112" s="2">
        <v>19</v>
      </c>
      <c r="E112" s="2" t="s">
        <v>34</v>
      </c>
      <c r="F112" s="2">
        <v>6</v>
      </c>
      <c r="G112" s="2">
        <v>51</v>
      </c>
      <c r="H112" s="2">
        <v>89</v>
      </c>
      <c r="I112" s="2">
        <v>45</v>
      </c>
      <c r="J112" s="2">
        <v>71.540000000000006</v>
      </c>
      <c r="K112" s="2" t="s">
        <v>22</v>
      </c>
      <c r="L112" s="1">
        <f t="shared" si="4"/>
        <v>61.666666666666664</v>
      </c>
      <c r="M112" s="2" t="str">
        <f t="shared" si="5"/>
        <v>Pass</v>
      </c>
      <c r="N112" s="2" t="str">
        <f t="shared" si="3"/>
        <v>Stable</v>
      </c>
    </row>
    <row r="113" spans="1:14" x14ac:dyDescent="0.3">
      <c r="A113" s="2" t="s">
        <v>222</v>
      </c>
      <c r="B113" s="2" t="s">
        <v>223</v>
      </c>
      <c r="C113" s="2" t="s">
        <v>21</v>
      </c>
      <c r="D113" s="2">
        <v>18</v>
      </c>
      <c r="E113" s="2" t="s">
        <v>34</v>
      </c>
      <c r="F113" s="2">
        <v>3</v>
      </c>
      <c r="G113" s="2">
        <v>50</v>
      </c>
      <c r="H113" s="2">
        <v>92</v>
      </c>
      <c r="I113" s="2">
        <v>40</v>
      </c>
      <c r="J113" s="2">
        <v>79.25</v>
      </c>
      <c r="K113" s="2" t="s">
        <v>22</v>
      </c>
      <c r="L113" s="1">
        <f t="shared" si="4"/>
        <v>60.666666666666664</v>
      </c>
      <c r="M113" s="2" t="str">
        <f t="shared" si="5"/>
        <v>Pass</v>
      </c>
      <c r="N113" s="2" t="str">
        <f t="shared" si="3"/>
        <v>Stable</v>
      </c>
    </row>
    <row r="114" spans="1:14" x14ac:dyDescent="0.3">
      <c r="A114" s="2" t="s">
        <v>224</v>
      </c>
      <c r="B114" s="2" t="s">
        <v>225</v>
      </c>
      <c r="C114" s="2" t="s">
        <v>21</v>
      </c>
      <c r="D114" s="2">
        <v>18</v>
      </c>
      <c r="E114" s="2" t="s">
        <v>27</v>
      </c>
      <c r="F114" s="2">
        <v>6</v>
      </c>
      <c r="G114" s="2">
        <v>78</v>
      </c>
      <c r="H114" s="2">
        <v>97</v>
      </c>
      <c r="I114" s="2">
        <v>41</v>
      </c>
      <c r="J114" s="2">
        <v>64.790000000000006</v>
      </c>
      <c r="K114" s="2" t="s">
        <v>28</v>
      </c>
      <c r="L114" s="1">
        <f t="shared" si="4"/>
        <v>72</v>
      </c>
      <c r="M114" s="2" t="str">
        <f t="shared" si="5"/>
        <v>Pass</v>
      </c>
      <c r="N114" s="2" t="str">
        <f t="shared" si="3"/>
        <v>Stable</v>
      </c>
    </row>
    <row r="115" spans="1:14" x14ac:dyDescent="0.3">
      <c r="A115" s="2" t="s">
        <v>226</v>
      </c>
      <c r="B115" s="2" t="s">
        <v>54</v>
      </c>
      <c r="C115" s="2" t="s">
        <v>21</v>
      </c>
      <c r="D115" s="2">
        <v>21</v>
      </c>
      <c r="E115" s="2" t="s">
        <v>27</v>
      </c>
      <c r="F115" s="2">
        <v>3</v>
      </c>
      <c r="G115" s="2">
        <v>58</v>
      </c>
      <c r="H115" s="2">
        <v>67</v>
      </c>
      <c r="I115" s="2">
        <v>93</v>
      </c>
      <c r="J115" s="2">
        <v>73.760000000000005</v>
      </c>
      <c r="K115" s="2" t="s">
        <v>28</v>
      </c>
      <c r="L115" s="1">
        <f t="shared" si="4"/>
        <v>72.666666666666671</v>
      </c>
      <c r="M115" s="2" t="str">
        <f t="shared" si="5"/>
        <v>Pass</v>
      </c>
      <c r="N115" s="2" t="str">
        <f t="shared" si="3"/>
        <v>Stable</v>
      </c>
    </row>
    <row r="116" spans="1:14" x14ac:dyDescent="0.3">
      <c r="A116" s="2" t="s">
        <v>227</v>
      </c>
      <c r="B116" s="2" t="s">
        <v>41</v>
      </c>
      <c r="C116" s="2" t="s">
        <v>16</v>
      </c>
      <c r="D116" s="2">
        <v>19</v>
      </c>
      <c r="E116" s="2" t="s">
        <v>37</v>
      </c>
      <c r="F116" s="2">
        <v>1</v>
      </c>
      <c r="G116" s="2">
        <v>82</v>
      </c>
      <c r="H116" s="2">
        <v>86</v>
      </c>
      <c r="I116" s="2">
        <v>63</v>
      </c>
      <c r="J116" s="2">
        <v>94.35</v>
      </c>
      <c r="K116" s="2" t="s">
        <v>28</v>
      </c>
      <c r="L116" s="1">
        <f t="shared" si="4"/>
        <v>77</v>
      </c>
      <c r="M116" s="2" t="str">
        <f t="shared" si="5"/>
        <v>Pass</v>
      </c>
      <c r="N116" s="2" t="str">
        <f t="shared" si="3"/>
        <v>Stable</v>
      </c>
    </row>
    <row r="117" spans="1:14" x14ac:dyDescent="0.3">
      <c r="A117" s="2" t="s">
        <v>228</v>
      </c>
      <c r="B117" s="2" t="s">
        <v>229</v>
      </c>
      <c r="C117" s="2" t="s">
        <v>16</v>
      </c>
      <c r="D117" s="2">
        <v>21</v>
      </c>
      <c r="E117" s="2" t="s">
        <v>17</v>
      </c>
      <c r="F117" s="2">
        <v>2</v>
      </c>
      <c r="G117" s="2">
        <v>43</v>
      </c>
      <c r="H117" s="2">
        <v>88</v>
      </c>
      <c r="I117" s="2">
        <v>49</v>
      </c>
      <c r="J117" s="2">
        <v>77.680000000000007</v>
      </c>
      <c r="K117" s="2" t="s">
        <v>22</v>
      </c>
      <c r="L117" s="1">
        <f t="shared" si="4"/>
        <v>60</v>
      </c>
      <c r="M117" s="2" t="str">
        <f t="shared" si="5"/>
        <v>Pass</v>
      </c>
      <c r="N117" s="2" t="str">
        <f t="shared" si="3"/>
        <v>Stable</v>
      </c>
    </row>
    <row r="118" spans="1:14" x14ac:dyDescent="0.3">
      <c r="A118" s="2" t="s">
        <v>230</v>
      </c>
      <c r="B118" s="2" t="s">
        <v>196</v>
      </c>
      <c r="C118" s="2" t="s">
        <v>21</v>
      </c>
      <c r="D118" s="2">
        <v>22</v>
      </c>
      <c r="E118" s="2" t="s">
        <v>50</v>
      </c>
      <c r="F118" s="2">
        <v>5</v>
      </c>
      <c r="G118" s="2">
        <v>77</v>
      </c>
      <c r="H118" s="2">
        <v>98</v>
      </c>
      <c r="I118" s="2">
        <v>47</v>
      </c>
      <c r="J118" s="2">
        <v>74.58</v>
      </c>
      <c r="K118" s="2" t="s">
        <v>28</v>
      </c>
      <c r="L118" s="1">
        <f t="shared" si="4"/>
        <v>74</v>
      </c>
      <c r="M118" s="2" t="str">
        <f t="shared" si="5"/>
        <v>Pass</v>
      </c>
      <c r="N118" s="2" t="str">
        <f t="shared" si="3"/>
        <v>Stable</v>
      </c>
    </row>
    <row r="119" spans="1:14" x14ac:dyDescent="0.3">
      <c r="A119" s="2" t="s">
        <v>231</v>
      </c>
      <c r="B119" s="2" t="s">
        <v>232</v>
      </c>
      <c r="C119" s="2" t="s">
        <v>21</v>
      </c>
      <c r="D119" s="2">
        <v>19</v>
      </c>
      <c r="E119" s="2" t="s">
        <v>37</v>
      </c>
      <c r="F119" s="2">
        <v>4</v>
      </c>
      <c r="G119" s="2">
        <v>71</v>
      </c>
      <c r="H119" s="2">
        <v>56</v>
      </c>
      <c r="I119" s="2">
        <v>97</v>
      </c>
      <c r="J119" s="2">
        <v>97.81</v>
      </c>
      <c r="K119" s="2" t="s">
        <v>28</v>
      </c>
      <c r="L119" s="1">
        <f t="shared" si="4"/>
        <v>74.666666666666671</v>
      </c>
      <c r="M119" s="2" t="str">
        <f t="shared" si="5"/>
        <v>Pass</v>
      </c>
      <c r="N119" s="2" t="str">
        <f t="shared" si="3"/>
        <v>Stable</v>
      </c>
    </row>
    <row r="120" spans="1:14" x14ac:dyDescent="0.3">
      <c r="A120" s="2" t="s">
        <v>233</v>
      </c>
      <c r="B120" s="2" t="s">
        <v>234</v>
      </c>
      <c r="C120" s="2" t="s">
        <v>16</v>
      </c>
      <c r="D120" s="2">
        <v>22</v>
      </c>
      <c r="E120" s="2" t="s">
        <v>37</v>
      </c>
      <c r="F120" s="2">
        <v>3</v>
      </c>
      <c r="G120" s="2">
        <v>59</v>
      </c>
      <c r="H120" s="2">
        <v>53</v>
      </c>
      <c r="I120" s="2">
        <v>73</v>
      </c>
      <c r="J120" s="2">
        <v>78.56</v>
      </c>
      <c r="K120" s="2" t="s">
        <v>22</v>
      </c>
      <c r="L120" s="1">
        <f t="shared" si="4"/>
        <v>61.666666666666664</v>
      </c>
      <c r="M120" s="2" t="str">
        <f t="shared" si="5"/>
        <v>Pass</v>
      </c>
      <c r="N120" s="2" t="str">
        <f t="shared" si="3"/>
        <v>Stable</v>
      </c>
    </row>
    <row r="121" spans="1:14" x14ac:dyDescent="0.3">
      <c r="A121" s="2" t="s">
        <v>235</v>
      </c>
      <c r="B121" s="2" t="s">
        <v>191</v>
      </c>
      <c r="C121" s="2" t="s">
        <v>16</v>
      </c>
      <c r="D121" s="2">
        <v>20</v>
      </c>
      <c r="E121" s="2" t="s">
        <v>27</v>
      </c>
      <c r="F121" s="2">
        <v>2</v>
      </c>
      <c r="G121" s="2">
        <v>72</v>
      </c>
      <c r="H121" s="2">
        <v>94</v>
      </c>
      <c r="I121" s="2">
        <v>84</v>
      </c>
      <c r="J121" s="2">
        <v>94.3</v>
      </c>
      <c r="K121" s="2" t="s">
        <v>18</v>
      </c>
      <c r="L121" s="1">
        <f t="shared" si="4"/>
        <v>83.333333333333329</v>
      </c>
      <c r="M121" s="2" t="str">
        <f t="shared" si="5"/>
        <v>Pass</v>
      </c>
      <c r="N121" s="2" t="str">
        <f t="shared" si="3"/>
        <v>Stable</v>
      </c>
    </row>
    <row r="122" spans="1:14" x14ac:dyDescent="0.3">
      <c r="A122" s="2" t="s">
        <v>236</v>
      </c>
      <c r="B122" s="2" t="s">
        <v>237</v>
      </c>
      <c r="C122" s="2" t="s">
        <v>21</v>
      </c>
      <c r="D122" s="2">
        <v>19</v>
      </c>
      <c r="E122" s="2" t="s">
        <v>27</v>
      </c>
      <c r="F122" s="2">
        <v>5</v>
      </c>
      <c r="G122" s="2">
        <v>70</v>
      </c>
      <c r="H122" s="2">
        <v>58</v>
      </c>
      <c r="I122" s="2">
        <v>81</v>
      </c>
      <c r="J122" s="2">
        <v>85.52</v>
      </c>
      <c r="K122" s="2" t="s">
        <v>22</v>
      </c>
      <c r="L122" s="1">
        <f t="shared" si="4"/>
        <v>69.666666666666671</v>
      </c>
      <c r="M122" s="2" t="str">
        <f t="shared" si="5"/>
        <v>Pass</v>
      </c>
      <c r="N122" s="2" t="str">
        <f t="shared" si="3"/>
        <v>Stable</v>
      </c>
    </row>
    <row r="123" spans="1:14" x14ac:dyDescent="0.3">
      <c r="A123" s="2" t="s">
        <v>238</v>
      </c>
      <c r="B123" s="2" t="s">
        <v>128</v>
      </c>
      <c r="C123" s="2" t="s">
        <v>21</v>
      </c>
      <c r="D123" s="2">
        <v>22</v>
      </c>
      <c r="E123" s="2" t="s">
        <v>27</v>
      </c>
      <c r="F123" s="2">
        <v>2</v>
      </c>
      <c r="G123" s="2">
        <v>62</v>
      </c>
      <c r="H123" s="2">
        <v>83</v>
      </c>
      <c r="I123" s="2">
        <v>84</v>
      </c>
      <c r="J123" s="2">
        <v>77.28</v>
      </c>
      <c r="K123" s="2" t="s">
        <v>28</v>
      </c>
      <c r="L123" s="1">
        <f t="shared" si="4"/>
        <v>76.333333333333329</v>
      </c>
      <c r="M123" s="2" t="str">
        <f t="shared" si="5"/>
        <v>Pass</v>
      </c>
      <c r="N123" s="2" t="str">
        <f t="shared" si="3"/>
        <v>Stable</v>
      </c>
    </row>
    <row r="124" spans="1:14" x14ac:dyDescent="0.3">
      <c r="A124" s="2" t="s">
        <v>239</v>
      </c>
      <c r="B124" s="2" t="s">
        <v>240</v>
      </c>
      <c r="C124" s="2" t="s">
        <v>16</v>
      </c>
      <c r="D124" s="2">
        <v>23</v>
      </c>
      <c r="E124" s="2" t="s">
        <v>34</v>
      </c>
      <c r="F124" s="2">
        <v>3</v>
      </c>
      <c r="G124" s="2">
        <v>81</v>
      </c>
      <c r="H124" s="2">
        <v>55</v>
      </c>
      <c r="I124" s="2">
        <v>68</v>
      </c>
      <c r="J124" s="2">
        <v>95.46</v>
      </c>
      <c r="K124" s="2" t="s">
        <v>22</v>
      </c>
      <c r="L124" s="1">
        <f t="shared" si="4"/>
        <v>68</v>
      </c>
      <c r="M124" s="2" t="str">
        <f t="shared" si="5"/>
        <v>Pass</v>
      </c>
      <c r="N124" s="2" t="str">
        <f t="shared" si="3"/>
        <v>Stable</v>
      </c>
    </row>
    <row r="125" spans="1:14" x14ac:dyDescent="0.3">
      <c r="A125" s="2" t="s">
        <v>241</v>
      </c>
      <c r="B125" s="2" t="s">
        <v>242</v>
      </c>
      <c r="C125" s="2" t="s">
        <v>16</v>
      </c>
      <c r="D125" s="2">
        <v>23</v>
      </c>
      <c r="E125" s="2" t="s">
        <v>27</v>
      </c>
      <c r="F125" s="2">
        <v>1</v>
      </c>
      <c r="G125" s="2">
        <v>96</v>
      </c>
      <c r="H125" s="2">
        <v>81</v>
      </c>
      <c r="I125" s="2">
        <v>95</v>
      </c>
      <c r="J125" s="2">
        <v>94.41</v>
      </c>
      <c r="K125" s="2" t="s">
        <v>126</v>
      </c>
      <c r="L125" s="1">
        <f t="shared" si="4"/>
        <v>90.666666666666671</v>
      </c>
      <c r="M125" s="2" t="str">
        <f t="shared" si="5"/>
        <v>Pass</v>
      </c>
      <c r="N125" s="2" t="str">
        <f t="shared" si="3"/>
        <v>Stable</v>
      </c>
    </row>
    <row r="126" spans="1:14" x14ac:dyDescent="0.3">
      <c r="A126" s="2" t="s">
        <v>243</v>
      </c>
      <c r="B126" s="2" t="s">
        <v>155</v>
      </c>
      <c r="C126" s="2" t="s">
        <v>21</v>
      </c>
      <c r="D126" s="2">
        <v>22</v>
      </c>
      <c r="E126" s="2" t="s">
        <v>37</v>
      </c>
      <c r="F126" s="2">
        <v>6</v>
      </c>
      <c r="G126" s="2">
        <v>71</v>
      </c>
      <c r="H126" s="2">
        <v>53</v>
      </c>
      <c r="I126" s="2">
        <v>81</v>
      </c>
      <c r="J126" s="2">
        <v>63.12</v>
      </c>
      <c r="K126" s="2" t="s">
        <v>22</v>
      </c>
      <c r="L126" s="1">
        <f t="shared" si="4"/>
        <v>68.333333333333329</v>
      </c>
      <c r="M126" s="2" t="str">
        <f t="shared" si="5"/>
        <v>Pass</v>
      </c>
      <c r="N126" s="2" t="str">
        <f t="shared" si="3"/>
        <v>Stable</v>
      </c>
    </row>
    <row r="127" spans="1:14" x14ac:dyDescent="0.3">
      <c r="A127" s="2" t="s">
        <v>244</v>
      </c>
      <c r="B127" s="2" t="s">
        <v>245</v>
      </c>
      <c r="C127" s="2" t="s">
        <v>16</v>
      </c>
      <c r="D127" s="2">
        <v>20</v>
      </c>
      <c r="E127" s="2" t="s">
        <v>17</v>
      </c>
      <c r="F127" s="2">
        <v>3</v>
      </c>
      <c r="G127" s="2">
        <v>56</v>
      </c>
      <c r="H127" s="2">
        <v>73</v>
      </c>
      <c r="I127" s="2">
        <v>66</v>
      </c>
      <c r="J127" s="2">
        <v>74.88</v>
      </c>
      <c r="K127" s="2" t="s">
        <v>22</v>
      </c>
      <c r="L127" s="1">
        <f t="shared" si="4"/>
        <v>65</v>
      </c>
      <c r="M127" s="2" t="str">
        <f t="shared" si="5"/>
        <v>Pass</v>
      </c>
      <c r="N127" s="2" t="str">
        <f t="shared" si="3"/>
        <v>Stable</v>
      </c>
    </row>
    <row r="128" spans="1:14" x14ac:dyDescent="0.3">
      <c r="A128" s="2" t="s">
        <v>246</v>
      </c>
      <c r="B128" s="2" t="s">
        <v>247</v>
      </c>
      <c r="C128" s="2" t="s">
        <v>16</v>
      </c>
      <c r="D128" s="2">
        <v>22</v>
      </c>
      <c r="E128" s="2" t="s">
        <v>50</v>
      </c>
      <c r="F128" s="2">
        <v>1</v>
      </c>
      <c r="G128" s="2">
        <v>73</v>
      </c>
      <c r="H128" s="2">
        <v>99</v>
      </c>
      <c r="I128" s="2">
        <v>50</v>
      </c>
      <c r="J128" s="2">
        <v>62.75</v>
      </c>
      <c r="K128" s="2" t="s">
        <v>28</v>
      </c>
      <c r="L128" s="1">
        <f t="shared" si="4"/>
        <v>74</v>
      </c>
      <c r="M128" s="2" t="str">
        <f t="shared" si="5"/>
        <v>Pass</v>
      </c>
      <c r="N128" s="2" t="str">
        <f t="shared" si="3"/>
        <v>Stable</v>
      </c>
    </row>
    <row r="129" spans="1:14" x14ac:dyDescent="0.3">
      <c r="A129" s="2" t="s">
        <v>248</v>
      </c>
      <c r="B129" s="2" t="s">
        <v>39</v>
      </c>
      <c r="C129" s="2" t="s">
        <v>16</v>
      </c>
      <c r="D129" s="2">
        <v>19</v>
      </c>
      <c r="E129" s="2" t="s">
        <v>34</v>
      </c>
      <c r="F129" s="2">
        <v>1</v>
      </c>
      <c r="G129" s="2">
        <v>99</v>
      </c>
      <c r="H129" s="2">
        <v>94</v>
      </c>
      <c r="I129" s="2">
        <v>85</v>
      </c>
      <c r="J129" s="2">
        <v>97.11</v>
      </c>
      <c r="K129" s="2" t="s">
        <v>126</v>
      </c>
      <c r="L129" s="1">
        <f t="shared" si="4"/>
        <v>92.666666666666671</v>
      </c>
      <c r="M129" s="2" t="str">
        <f t="shared" si="5"/>
        <v>Pass</v>
      </c>
      <c r="N129" s="2" t="str">
        <f t="shared" si="3"/>
        <v>Stable</v>
      </c>
    </row>
    <row r="130" spans="1:14" x14ac:dyDescent="0.3">
      <c r="A130" s="2" t="s">
        <v>249</v>
      </c>
      <c r="B130" s="2" t="s">
        <v>215</v>
      </c>
      <c r="C130" s="2" t="s">
        <v>21</v>
      </c>
      <c r="D130" s="2">
        <v>23</v>
      </c>
      <c r="E130" s="2" t="s">
        <v>50</v>
      </c>
      <c r="F130" s="2">
        <v>5</v>
      </c>
      <c r="G130" s="2">
        <v>82</v>
      </c>
      <c r="H130" s="2">
        <v>47</v>
      </c>
      <c r="I130" s="2">
        <v>43</v>
      </c>
      <c r="J130" s="2">
        <v>67.84</v>
      </c>
      <c r="K130" s="2" t="s">
        <v>31</v>
      </c>
      <c r="L130" s="1">
        <f t="shared" si="4"/>
        <v>57.333333333333336</v>
      </c>
      <c r="M130" s="2" t="str">
        <f t="shared" si="5"/>
        <v>Pass</v>
      </c>
      <c r="N130" s="2" t="str">
        <f t="shared" ref="N130:N193" si="6">_xlfn.IFS(M130="Fail", "High Risk", L130&lt;60, "Monitor", TRUE, "Stable")</f>
        <v>Monitor</v>
      </c>
    </row>
    <row r="131" spans="1:14" x14ac:dyDescent="0.3">
      <c r="A131" s="2" t="s">
        <v>250</v>
      </c>
      <c r="B131" s="2" t="s">
        <v>161</v>
      </c>
      <c r="C131" s="2" t="s">
        <v>21</v>
      </c>
      <c r="D131" s="2">
        <v>22</v>
      </c>
      <c r="E131" s="2" t="s">
        <v>37</v>
      </c>
      <c r="F131" s="2">
        <v>2</v>
      </c>
      <c r="G131" s="2">
        <v>59</v>
      </c>
      <c r="H131" s="2">
        <v>66</v>
      </c>
      <c r="I131" s="2">
        <v>51</v>
      </c>
      <c r="J131" s="2">
        <v>96.57</v>
      </c>
      <c r="K131" s="2" t="s">
        <v>31</v>
      </c>
      <c r="L131" s="1">
        <f t="shared" si="4"/>
        <v>58.666666666666664</v>
      </c>
      <c r="M131" s="2" t="str">
        <f t="shared" si="5"/>
        <v>Pass</v>
      </c>
      <c r="N131" s="2" t="str">
        <f t="shared" si="6"/>
        <v>Monitor</v>
      </c>
    </row>
    <row r="132" spans="1:14" x14ac:dyDescent="0.3">
      <c r="A132" s="2" t="s">
        <v>251</v>
      </c>
      <c r="B132" s="2" t="s">
        <v>155</v>
      </c>
      <c r="C132" s="2" t="s">
        <v>21</v>
      </c>
      <c r="D132" s="2">
        <v>23</v>
      </c>
      <c r="E132" s="2" t="s">
        <v>27</v>
      </c>
      <c r="F132" s="2">
        <v>6</v>
      </c>
      <c r="G132" s="2">
        <v>76</v>
      </c>
      <c r="H132" s="2">
        <v>65</v>
      </c>
      <c r="I132" s="2">
        <v>46</v>
      </c>
      <c r="J132" s="2">
        <v>95.6</v>
      </c>
      <c r="K132" s="2" t="s">
        <v>22</v>
      </c>
      <c r="L132" s="1">
        <f t="shared" ref="L132:L195" si="7">AVERAGE(G132:I132)</f>
        <v>62.333333333333336</v>
      </c>
      <c r="M132" s="2" t="str">
        <f t="shared" ref="M132:M195" si="8">IF(OR(G132&lt;40, H132&lt;40, I132&lt;40), "Fail", "Pass")</f>
        <v>Pass</v>
      </c>
      <c r="N132" s="2" t="str">
        <f t="shared" si="6"/>
        <v>Stable</v>
      </c>
    </row>
    <row r="133" spans="1:14" x14ac:dyDescent="0.3">
      <c r="A133" s="2" t="s">
        <v>252</v>
      </c>
      <c r="B133" s="2" t="s">
        <v>253</v>
      </c>
      <c r="C133" s="2" t="s">
        <v>21</v>
      </c>
      <c r="D133" s="2">
        <v>19</v>
      </c>
      <c r="E133" s="2" t="s">
        <v>27</v>
      </c>
      <c r="F133" s="2">
        <v>3</v>
      </c>
      <c r="G133" s="2">
        <v>91</v>
      </c>
      <c r="H133" s="2">
        <v>43</v>
      </c>
      <c r="I133" s="2">
        <v>65</v>
      </c>
      <c r="J133" s="2">
        <v>85.4</v>
      </c>
      <c r="K133" s="2" t="s">
        <v>22</v>
      </c>
      <c r="L133" s="1">
        <f t="shared" si="7"/>
        <v>66.333333333333329</v>
      </c>
      <c r="M133" s="2" t="str">
        <f t="shared" si="8"/>
        <v>Pass</v>
      </c>
      <c r="N133" s="2" t="str">
        <f t="shared" si="6"/>
        <v>Stable</v>
      </c>
    </row>
    <row r="134" spans="1:14" x14ac:dyDescent="0.3">
      <c r="A134" s="2" t="s">
        <v>254</v>
      </c>
      <c r="B134" s="2" t="s">
        <v>255</v>
      </c>
      <c r="C134" s="2" t="s">
        <v>21</v>
      </c>
      <c r="D134" s="2">
        <v>20</v>
      </c>
      <c r="E134" s="2" t="s">
        <v>17</v>
      </c>
      <c r="F134" s="2">
        <v>1</v>
      </c>
      <c r="G134" s="2">
        <v>49</v>
      </c>
      <c r="H134" s="2">
        <v>83</v>
      </c>
      <c r="I134" s="2">
        <v>92</v>
      </c>
      <c r="J134" s="2">
        <v>69.7</v>
      </c>
      <c r="K134" s="2" t="s">
        <v>28</v>
      </c>
      <c r="L134" s="1">
        <f t="shared" si="7"/>
        <v>74.666666666666671</v>
      </c>
      <c r="M134" s="2" t="str">
        <f t="shared" si="8"/>
        <v>Pass</v>
      </c>
      <c r="N134" s="2" t="str">
        <f t="shared" si="6"/>
        <v>Stable</v>
      </c>
    </row>
    <row r="135" spans="1:14" x14ac:dyDescent="0.3">
      <c r="A135" s="2" t="s">
        <v>256</v>
      </c>
      <c r="B135" s="2" t="s">
        <v>157</v>
      </c>
      <c r="C135" s="2" t="s">
        <v>16</v>
      </c>
      <c r="D135" s="2">
        <v>21</v>
      </c>
      <c r="E135" s="2" t="s">
        <v>27</v>
      </c>
      <c r="F135" s="2">
        <v>4</v>
      </c>
      <c r="G135" s="2">
        <v>81</v>
      </c>
      <c r="H135" s="2">
        <v>72</v>
      </c>
      <c r="I135" s="2">
        <v>63</v>
      </c>
      <c r="J135" s="2">
        <v>85.45</v>
      </c>
      <c r="K135" s="2" t="s">
        <v>28</v>
      </c>
      <c r="L135" s="1">
        <f t="shared" si="7"/>
        <v>72</v>
      </c>
      <c r="M135" s="2" t="str">
        <f t="shared" si="8"/>
        <v>Pass</v>
      </c>
      <c r="N135" s="2" t="str">
        <f t="shared" si="6"/>
        <v>Stable</v>
      </c>
    </row>
    <row r="136" spans="1:14" x14ac:dyDescent="0.3">
      <c r="A136" s="2" t="s">
        <v>257</v>
      </c>
      <c r="B136" s="2" t="s">
        <v>258</v>
      </c>
      <c r="C136" s="2" t="s">
        <v>21</v>
      </c>
      <c r="D136" s="2">
        <v>22</v>
      </c>
      <c r="E136" s="2" t="s">
        <v>34</v>
      </c>
      <c r="F136" s="2">
        <v>2</v>
      </c>
      <c r="G136" s="2">
        <v>95</v>
      </c>
      <c r="H136" s="2">
        <v>60</v>
      </c>
      <c r="I136" s="2">
        <v>49</v>
      </c>
      <c r="J136" s="2">
        <v>67.94</v>
      </c>
      <c r="K136" s="2" t="s">
        <v>22</v>
      </c>
      <c r="L136" s="1">
        <f t="shared" si="7"/>
        <v>68</v>
      </c>
      <c r="M136" s="2" t="str">
        <f t="shared" si="8"/>
        <v>Pass</v>
      </c>
      <c r="N136" s="2" t="str">
        <f t="shared" si="6"/>
        <v>Stable</v>
      </c>
    </row>
    <row r="137" spans="1:14" x14ac:dyDescent="0.3">
      <c r="A137" s="2" t="s">
        <v>259</v>
      </c>
      <c r="B137" s="2" t="s">
        <v>260</v>
      </c>
      <c r="C137" s="2" t="s">
        <v>21</v>
      </c>
      <c r="D137" s="2">
        <v>21</v>
      </c>
      <c r="E137" s="2" t="s">
        <v>37</v>
      </c>
      <c r="F137" s="2">
        <v>5</v>
      </c>
      <c r="G137" s="2">
        <v>46</v>
      </c>
      <c r="H137" s="2">
        <v>95</v>
      </c>
      <c r="I137" s="2">
        <v>90</v>
      </c>
      <c r="J137" s="2">
        <v>72.91</v>
      </c>
      <c r="K137" s="2" t="s">
        <v>28</v>
      </c>
      <c r="L137" s="1">
        <f t="shared" si="7"/>
        <v>77</v>
      </c>
      <c r="M137" s="2" t="str">
        <f t="shared" si="8"/>
        <v>Pass</v>
      </c>
      <c r="N137" s="2" t="str">
        <f t="shared" si="6"/>
        <v>Stable</v>
      </c>
    </row>
    <row r="138" spans="1:14" x14ac:dyDescent="0.3">
      <c r="A138" s="2" t="s">
        <v>261</v>
      </c>
      <c r="B138" s="2" t="s">
        <v>103</v>
      </c>
      <c r="C138" s="2" t="s">
        <v>21</v>
      </c>
      <c r="D138" s="2">
        <v>23</v>
      </c>
      <c r="E138" s="2" t="s">
        <v>34</v>
      </c>
      <c r="F138" s="2">
        <v>1</v>
      </c>
      <c r="G138" s="2">
        <v>45</v>
      </c>
      <c r="H138" s="2">
        <v>75</v>
      </c>
      <c r="I138" s="2">
        <v>96</v>
      </c>
      <c r="J138" s="2">
        <v>93.75</v>
      </c>
      <c r="K138" s="2" t="s">
        <v>28</v>
      </c>
      <c r="L138" s="1">
        <f t="shared" si="7"/>
        <v>72</v>
      </c>
      <c r="M138" s="2" t="str">
        <f t="shared" si="8"/>
        <v>Pass</v>
      </c>
      <c r="N138" s="2" t="str">
        <f t="shared" si="6"/>
        <v>Stable</v>
      </c>
    </row>
    <row r="139" spans="1:14" x14ac:dyDescent="0.3">
      <c r="A139" s="2" t="s">
        <v>262</v>
      </c>
      <c r="B139" s="2" t="s">
        <v>263</v>
      </c>
      <c r="C139" s="2" t="s">
        <v>21</v>
      </c>
      <c r="D139" s="2">
        <v>21</v>
      </c>
      <c r="E139" s="2" t="s">
        <v>34</v>
      </c>
      <c r="F139" s="2">
        <v>5</v>
      </c>
      <c r="G139" s="2">
        <v>56</v>
      </c>
      <c r="H139" s="2">
        <v>49</v>
      </c>
      <c r="I139" s="2">
        <v>60</v>
      </c>
      <c r="J139" s="2">
        <v>82.29</v>
      </c>
      <c r="K139" s="2" t="s">
        <v>31</v>
      </c>
      <c r="L139" s="1">
        <f t="shared" si="7"/>
        <v>55</v>
      </c>
      <c r="M139" s="2" t="str">
        <f t="shared" si="8"/>
        <v>Pass</v>
      </c>
      <c r="N139" s="2" t="str">
        <f t="shared" si="6"/>
        <v>Monitor</v>
      </c>
    </row>
    <row r="140" spans="1:14" x14ac:dyDescent="0.3">
      <c r="A140" s="2" t="s">
        <v>264</v>
      </c>
      <c r="B140" s="2" t="s">
        <v>151</v>
      </c>
      <c r="C140" s="2" t="s">
        <v>21</v>
      </c>
      <c r="D140" s="2">
        <v>19</v>
      </c>
      <c r="E140" s="2" t="s">
        <v>37</v>
      </c>
      <c r="F140" s="2">
        <v>3</v>
      </c>
      <c r="G140" s="2">
        <v>41</v>
      </c>
      <c r="H140" s="2">
        <v>36</v>
      </c>
      <c r="I140" s="2">
        <v>42</v>
      </c>
      <c r="J140" s="2">
        <v>62.86</v>
      </c>
      <c r="K140" s="2" t="s">
        <v>55</v>
      </c>
      <c r="L140" s="1">
        <f t="shared" si="7"/>
        <v>39.666666666666664</v>
      </c>
      <c r="M140" s="2" t="str">
        <f t="shared" si="8"/>
        <v>Fail</v>
      </c>
      <c r="N140" s="2" t="str">
        <f t="shared" si="6"/>
        <v>High Risk</v>
      </c>
    </row>
    <row r="141" spans="1:14" x14ac:dyDescent="0.3">
      <c r="A141" s="2" t="s">
        <v>265</v>
      </c>
      <c r="B141" s="2" t="s">
        <v>247</v>
      </c>
      <c r="C141" s="2" t="s">
        <v>16</v>
      </c>
      <c r="D141" s="2">
        <v>23</v>
      </c>
      <c r="E141" s="2" t="s">
        <v>37</v>
      </c>
      <c r="F141" s="2">
        <v>5</v>
      </c>
      <c r="G141" s="2">
        <v>51</v>
      </c>
      <c r="H141" s="2">
        <v>86</v>
      </c>
      <c r="I141" s="2">
        <v>64</v>
      </c>
      <c r="J141" s="2">
        <v>61.97</v>
      </c>
      <c r="K141" s="2" t="s">
        <v>22</v>
      </c>
      <c r="L141" s="1">
        <f t="shared" si="7"/>
        <v>67</v>
      </c>
      <c r="M141" s="2" t="str">
        <f t="shared" si="8"/>
        <v>Pass</v>
      </c>
      <c r="N141" s="2" t="str">
        <f t="shared" si="6"/>
        <v>Stable</v>
      </c>
    </row>
    <row r="142" spans="1:14" x14ac:dyDescent="0.3">
      <c r="A142" s="2" t="s">
        <v>266</v>
      </c>
      <c r="B142" s="2" t="s">
        <v>267</v>
      </c>
      <c r="C142" s="2" t="s">
        <v>16</v>
      </c>
      <c r="D142" s="2">
        <v>21</v>
      </c>
      <c r="E142" s="2" t="s">
        <v>37</v>
      </c>
      <c r="F142" s="2">
        <v>3</v>
      </c>
      <c r="G142" s="2">
        <v>89</v>
      </c>
      <c r="H142" s="2">
        <v>40</v>
      </c>
      <c r="I142" s="2">
        <v>99</v>
      </c>
      <c r="J142" s="2">
        <v>93.03</v>
      </c>
      <c r="K142" s="2" t="s">
        <v>28</v>
      </c>
      <c r="L142" s="1">
        <f t="shared" si="7"/>
        <v>76</v>
      </c>
      <c r="M142" s="2" t="str">
        <f t="shared" si="8"/>
        <v>Pass</v>
      </c>
      <c r="N142" s="2" t="str">
        <f t="shared" si="6"/>
        <v>Stable</v>
      </c>
    </row>
    <row r="143" spans="1:14" x14ac:dyDescent="0.3">
      <c r="A143" s="2" t="s">
        <v>268</v>
      </c>
      <c r="B143" s="2" t="s">
        <v>91</v>
      </c>
      <c r="C143" s="2" t="s">
        <v>16</v>
      </c>
      <c r="D143" s="2">
        <v>19</v>
      </c>
      <c r="E143" s="2" t="s">
        <v>34</v>
      </c>
      <c r="F143" s="2">
        <v>5</v>
      </c>
      <c r="G143" s="2">
        <v>64</v>
      </c>
      <c r="H143" s="2">
        <v>85</v>
      </c>
      <c r="I143" s="2">
        <v>77</v>
      </c>
      <c r="J143" s="2">
        <v>61.4</v>
      </c>
      <c r="K143" s="2" t="s">
        <v>28</v>
      </c>
      <c r="L143" s="1">
        <f t="shared" si="7"/>
        <v>75.333333333333329</v>
      </c>
      <c r="M143" s="2" t="str">
        <f t="shared" si="8"/>
        <v>Pass</v>
      </c>
      <c r="N143" s="2" t="str">
        <f t="shared" si="6"/>
        <v>Stable</v>
      </c>
    </row>
    <row r="144" spans="1:14" x14ac:dyDescent="0.3">
      <c r="A144" s="2" t="s">
        <v>269</v>
      </c>
      <c r="B144" s="2" t="s">
        <v>270</v>
      </c>
      <c r="C144" s="2" t="s">
        <v>16</v>
      </c>
      <c r="D144" s="2">
        <v>21</v>
      </c>
      <c r="E144" s="2" t="s">
        <v>50</v>
      </c>
      <c r="F144" s="2">
        <v>3</v>
      </c>
      <c r="G144" s="2">
        <v>42</v>
      </c>
      <c r="H144" s="2">
        <v>90</v>
      </c>
      <c r="I144" s="2">
        <v>50</v>
      </c>
      <c r="J144" s="2">
        <v>95.29</v>
      </c>
      <c r="K144" s="2" t="s">
        <v>22</v>
      </c>
      <c r="L144" s="1">
        <f t="shared" si="7"/>
        <v>60.666666666666664</v>
      </c>
      <c r="M144" s="2" t="str">
        <f t="shared" si="8"/>
        <v>Pass</v>
      </c>
      <c r="N144" s="2" t="str">
        <f t="shared" si="6"/>
        <v>Stable</v>
      </c>
    </row>
    <row r="145" spans="1:14" x14ac:dyDescent="0.3">
      <c r="A145" s="2" t="s">
        <v>271</v>
      </c>
      <c r="B145" s="2" t="s">
        <v>272</v>
      </c>
      <c r="C145" s="2" t="s">
        <v>16</v>
      </c>
      <c r="D145" s="2">
        <v>20</v>
      </c>
      <c r="E145" s="2" t="s">
        <v>27</v>
      </c>
      <c r="F145" s="2">
        <v>2</v>
      </c>
      <c r="G145" s="2">
        <v>57</v>
      </c>
      <c r="H145" s="2">
        <v>98</v>
      </c>
      <c r="I145" s="2">
        <v>40</v>
      </c>
      <c r="J145" s="2">
        <v>61.42</v>
      </c>
      <c r="K145" s="2" t="s">
        <v>22</v>
      </c>
      <c r="L145" s="1">
        <f t="shared" si="7"/>
        <v>65</v>
      </c>
      <c r="M145" s="2" t="str">
        <f t="shared" si="8"/>
        <v>Pass</v>
      </c>
      <c r="N145" s="2" t="str">
        <f t="shared" si="6"/>
        <v>Stable</v>
      </c>
    </row>
    <row r="146" spans="1:14" x14ac:dyDescent="0.3">
      <c r="A146" s="2" t="s">
        <v>273</v>
      </c>
      <c r="B146" s="2" t="s">
        <v>260</v>
      </c>
      <c r="C146" s="2" t="s">
        <v>21</v>
      </c>
      <c r="D146" s="2">
        <v>19</v>
      </c>
      <c r="E146" s="2" t="s">
        <v>17</v>
      </c>
      <c r="F146" s="2">
        <v>6</v>
      </c>
      <c r="G146" s="2">
        <v>87</v>
      </c>
      <c r="H146" s="2">
        <v>78</v>
      </c>
      <c r="I146" s="2">
        <v>91</v>
      </c>
      <c r="J146" s="2">
        <v>97.54</v>
      </c>
      <c r="K146" s="2" t="s">
        <v>18</v>
      </c>
      <c r="L146" s="1">
        <f t="shared" si="7"/>
        <v>85.333333333333329</v>
      </c>
      <c r="M146" s="2" t="str">
        <f t="shared" si="8"/>
        <v>Pass</v>
      </c>
      <c r="N146" s="2" t="str">
        <f t="shared" si="6"/>
        <v>Stable</v>
      </c>
    </row>
    <row r="147" spans="1:14" x14ac:dyDescent="0.3">
      <c r="A147" s="2" t="s">
        <v>274</v>
      </c>
      <c r="B147" s="2" t="s">
        <v>24</v>
      </c>
      <c r="C147" s="2" t="s">
        <v>21</v>
      </c>
      <c r="D147" s="2">
        <v>20</v>
      </c>
      <c r="E147" s="2" t="s">
        <v>50</v>
      </c>
      <c r="F147" s="2">
        <v>6</v>
      </c>
      <c r="G147" s="2">
        <v>40</v>
      </c>
      <c r="H147" s="2">
        <v>77</v>
      </c>
      <c r="I147" s="2">
        <v>41</v>
      </c>
      <c r="J147" s="2">
        <v>63.87</v>
      </c>
      <c r="K147" s="2" t="s">
        <v>31</v>
      </c>
      <c r="L147" s="1">
        <f t="shared" si="7"/>
        <v>52.666666666666664</v>
      </c>
      <c r="M147" s="2" t="str">
        <f t="shared" si="8"/>
        <v>Pass</v>
      </c>
      <c r="N147" s="2" t="str">
        <f t="shared" si="6"/>
        <v>Monitor</v>
      </c>
    </row>
    <row r="148" spans="1:14" x14ac:dyDescent="0.3">
      <c r="A148" s="2" t="s">
        <v>275</v>
      </c>
      <c r="B148" s="2" t="s">
        <v>276</v>
      </c>
      <c r="C148" s="2" t="s">
        <v>16</v>
      </c>
      <c r="D148" s="2">
        <v>20</v>
      </c>
      <c r="E148" s="2" t="s">
        <v>37</v>
      </c>
      <c r="F148" s="2">
        <v>6</v>
      </c>
      <c r="G148" s="2">
        <v>66</v>
      </c>
      <c r="H148" s="2">
        <v>60</v>
      </c>
      <c r="I148" s="2">
        <v>70</v>
      </c>
      <c r="J148" s="2">
        <v>74.010000000000005</v>
      </c>
      <c r="K148" s="2" t="s">
        <v>22</v>
      </c>
      <c r="L148" s="1">
        <f t="shared" si="7"/>
        <v>65.333333333333329</v>
      </c>
      <c r="M148" s="2" t="str">
        <f t="shared" si="8"/>
        <v>Pass</v>
      </c>
      <c r="N148" s="2" t="str">
        <f t="shared" si="6"/>
        <v>Stable</v>
      </c>
    </row>
    <row r="149" spans="1:14" x14ac:dyDescent="0.3">
      <c r="A149" s="2" t="s">
        <v>277</v>
      </c>
      <c r="B149" s="2" t="s">
        <v>177</v>
      </c>
      <c r="C149" s="2" t="s">
        <v>21</v>
      </c>
      <c r="D149" s="2">
        <v>23</v>
      </c>
      <c r="E149" s="2" t="s">
        <v>27</v>
      </c>
      <c r="F149" s="2">
        <v>5</v>
      </c>
      <c r="G149" s="2">
        <v>98</v>
      </c>
      <c r="H149" s="2">
        <v>53</v>
      </c>
      <c r="I149" s="2">
        <v>41</v>
      </c>
      <c r="J149" s="2">
        <v>71.41</v>
      </c>
      <c r="K149" s="2" t="s">
        <v>22</v>
      </c>
      <c r="L149" s="1">
        <f t="shared" si="7"/>
        <v>64</v>
      </c>
      <c r="M149" s="2" t="str">
        <f t="shared" si="8"/>
        <v>Pass</v>
      </c>
      <c r="N149" s="2" t="str">
        <f t="shared" si="6"/>
        <v>Stable</v>
      </c>
    </row>
    <row r="150" spans="1:14" x14ac:dyDescent="0.3">
      <c r="A150" s="2" t="s">
        <v>278</v>
      </c>
      <c r="B150" s="2" t="s">
        <v>279</v>
      </c>
      <c r="C150" s="2" t="s">
        <v>21</v>
      </c>
      <c r="D150" s="2">
        <v>18</v>
      </c>
      <c r="E150" s="2" t="s">
        <v>34</v>
      </c>
      <c r="F150" s="2">
        <v>5</v>
      </c>
      <c r="G150" s="2">
        <v>74</v>
      </c>
      <c r="H150" s="2">
        <v>82</v>
      </c>
      <c r="I150" s="2">
        <v>73</v>
      </c>
      <c r="J150" s="2">
        <v>69.180000000000007</v>
      </c>
      <c r="K150" s="2" t="s">
        <v>28</v>
      </c>
      <c r="L150" s="1">
        <f t="shared" si="7"/>
        <v>76.333333333333329</v>
      </c>
      <c r="M150" s="2" t="str">
        <f t="shared" si="8"/>
        <v>Pass</v>
      </c>
      <c r="N150" s="2" t="str">
        <f t="shared" si="6"/>
        <v>Stable</v>
      </c>
    </row>
    <row r="151" spans="1:14" x14ac:dyDescent="0.3">
      <c r="A151" s="2" t="s">
        <v>280</v>
      </c>
      <c r="B151" s="2" t="s">
        <v>281</v>
      </c>
      <c r="C151" s="2" t="s">
        <v>21</v>
      </c>
      <c r="D151" s="2">
        <v>21</v>
      </c>
      <c r="E151" s="2" t="s">
        <v>50</v>
      </c>
      <c r="F151" s="2">
        <v>4</v>
      </c>
      <c r="G151" s="2">
        <v>92</v>
      </c>
      <c r="H151" s="2">
        <v>57</v>
      </c>
      <c r="I151" s="2">
        <v>67</v>
      </c>
      <c r="J151" s="2">
        <v>76.5</v>
      </c>
      <c r="K151" s="2" t="s">
        <v>28</v>
      </c>
      <c r="L151" s="1">
        <f t="shared" si="7"/>
        <v>72</v>
      </c>
      <c r="M151" s="2" t="str">
        <f t="shared" si="8"/>
        <v>Pass</v>
      </c>
      <c r="N151" s="2" t="str">
        <f t="shared" si="6"/>
        <v>Stable</v>
      </c>
    </row>
    <row r="152" spans="1:14" x14ac:dyDescent="0.3">
      <c r="A152" s="2" t="s">
        <v>282</v>
      </c>
      <c r="B152" s="2" t="s">
        <v>283</v>
      </c>
      <c r="C152" s="2" t="s">
        <v>21</v>
      </c>
      <c r="D152" s="2">
        <v>22</v>
      </c>
      <c r="E152" s="2" t="s">
        <v>37</v>
      </c>
      <c r="F152" s="2">
        <v>4</v>
      </c>
      <c r="G152" s="2">
        <v>37</v>
      </c>
      <c r="H152" s="2">
        <v>37</v>
      </c>
      <c r="I152" s="2">
        <v>80</v>
      </c>
      <c r="J152" s="2">
        <v>90.18</v>
      </c>
      <c r="K152" s="2" t="s">
        <v>31</v>
      </c>
      <c r="L152" s="1">
        <f t="shared" si="7"/>
        <v>51.333333333333336</v>
      </c>
      <c r="M152" s="2" t="str">
        <f t="shared" si="8"/>
        <v>Fail</v>
      </c>
      <c r="N152" s="2" t="str">
        <f t="shared" si="6"/>
        <v>High Risk</v>
      </c>
    </row>
    <row r="153" spans="1:14" x14ac:dyDescent="0.3">
      <c r="A153" s="2" t="s">
        <v>284</v>
      </c>
      <c r="B153" s="2" t="s">
        <v>33</v>
      </c>
      <c r="C153" s="2" t="s">
        <v>21</v>
      </c>
      <c r="D153" s="2">
        <v>21</v>
      </c>
      <c r="E153" s="2" t="s">
        <v>37</v>
      </c>
      <c r="F153" s="2">
        <v>2</v>
      </c>
      <c r="G153" s="2">
        <v>64</v>
      </c>
      <c r="H153" s="2">
        <v>99</v>
      </c>
      <c r="I153" s="2">
        <v>99</v>
      </c>
      <c r="J153" s="2">
        <v>88.82</v>
      </c>
      <c r="K153" s="2" t="s">
        <v>18</v>
      </c>
      <c r="L153" s="1">
        <f t="shared" si="7"/>
        <v>87.333333333333329</v>
      </c>
      <c r="M153" s="2" t="str">
        <f t="shared" si="8"/>
        <v>Pass</v>
      </c>
      <c r="N153" s="2" t="str">
        <f t="shared" si="6"/>
        <v>Stable</v>
      </c>
    </row>
    <row r="154" spans="1:14" x14ac:dyDescent="0.3">
      <c r="A154" s="2" t="s">
        <v>285</v>
      </c>
      <c r="B154" s="2" t="s">
        <v>272</v>
      </c>
      <c r="C154" s="2" t="s">
        <v>21</v>
      </c>
      <c r="D154" s="2">
        <v>23</v>
      </c>
      <c r="E154" s="2" t="s">
        <v>50</v>
      </c>
      <c r="F154" s="2">
        <v>2</v>
      </c>
      <c r="G154" s="2">
        <v>94</v>
      </c>
      <c r="H154" s="2">
        <v>51</v>
      </c>
      <c r="I154" s="2">
        <v>92</v>
      </c>
      <c r="J154" s="2">
        <v>90.7</v>
      </c>
      <c r="K154" s="2" t="s">
        <v>28</v>
      </c>
      <c r="L154" s="1">
        <f t="shared" si="7"/>
        <v>79</v>
      </c>
      <c r="M154" s="2" t="str">
        <f t="shared" si="8"/>
        <v>Pass</v>
      </c>
      <c r="N154" s="2" t="str">
        <f t="shared" si="6"/>
        <v>Stable</v>
      </c>
    </row>
    <row r="155" spans="1:14" x14ac:dyDescent="0.3">
      <c r="A155" s="2" t="s">
        <v>286</v>
      </c>
      <c r="B155" s="2" t="s">
        <v>138</v>
      </c>
      <c r="C155" s="2" t="s">
        <v>16</v>
      </c>
      <c r="D155" s="2">
        <v>19</v>
      </c>
      <c r="E155" s="2" t="s">
        <v>50</v>
      </c>
      <c r="F155" s="2">
        <v>5</v>
      </c>
      <c r="G155" s="2">
        <v>76</v>
      </c>
      <c r="H155" s="2">
        <v>54</v>
      </c>
      <c r="I155" s="2">
        <v>71</v>
      </c>
      <c r="J155" s="2">
        <v>86.01</v>
      </c>
      <c r="K155" s="2" t="s">
        <v>22</v>
      </c>
      <c r="L155" s="1">
        <f t="shared" si="7"/>
        <v>67</v>
      </c>
      <c r="M155" s="2" t="str">
        <f t="shared" si="8"/>
        <v>Pass</v>
      </c>
      <c r="N155" s="2" t="str">
        <f t="shared" si="6"/>
        <v>Stable</v>
      </c>
    </row>
    <row r="156" spans="1:14" x14ac:dyDescent="0.3">
      <c r="A156" s="2" t="s">
        <v>287</v>
      </c>
      <c r="B156" s="2" t="s">
        <v>237</v>
      </c>
      <c r="C156" s="2" t="s">
        <v>21</v>
      </c>
      <c r="D156" s="2">
        <v>19</v>
      </c>
      <c r="E156" s="2" t="s">
        <v>17</v>
      </c>
      <c r="F156" s="2">
        <v>6</v>
      </c>
      <c r="G156" s="2">
        <v>83</v>
      </c>
      <c r="H156" s="2">
        <v>70</v>
      </c>
      <c r="I156" s="2">
        <v>94</v>
      </c>
      <c r="J156" s="2">
        <v>84.95</v>
      </c>
      <c r="K156" s="2" t="s">
        <v>18</v>
      </c>
      <c r="L156" s="1">
        <f t="shared" si="7"/>
        <v>82.333333333333329</v>
      </c>
      <c r="M156" s="2" t="str">
        <f t="shared" si="8"/>
        <v>Pass</v>
      </c>
      <c r="N156" s="2" t="str">
        <f t="shared" si="6"/>
        <v>Stable</v>
      </c>
    </row>
    <row r="157" spans="1:14" x14ac:dyDescent="0.3">
      <c r="A157" s="2" t="s">
        <v>288</v>
      </c>
      <c r="B157" s="2" t="s">
        <v>289</v>
      </c>
      <c r="C157" s="2" t="s">
        <v>21</v>
      </c>
      <c r="D157" s="2">
        <v>22</v>
      </c>
      <c r="E157" s="2" t="s">
        <v>50</v>
      </c>
      <c r="F157" s="2">
        <v>6</v>
      </c>
      <c r="G157" s="2">
        <v>53</v>
      </c>
      <c r="H157" s="2">
        <v>75</v>
      </c>
      <c r="I157" s="2">
        <v>48</v>
      </c>
      <c r="J157" s="2">
        <v>78.400000000000006</v>
      </c>
      <c r="K157" s="2" t="s">
        <v>31</v>
      </c>
      <c r="L157" s="1">
        <f t="shared" si="7"/>
        <v>58.666666666666664</v>
      </c>
      <c r="M157" s="2" t="str">
        <f t="shared" si="8"/>
        <v>Pass</v>
      </c>
      <c r="N157" s="2" t="str">
        <f t="shared" si="6"/>
        <v>Monitor</v>
      </c>
    </row>
    <row r="158" spans="1:14" x14ac:dyDescent="0.3">
      <c r="A158" s="2" t="s">
        <v>290</v>
      </c>
      <c r="B158" s="2" t="s">
        <v>291</v>
      </c>
      <c r="C158" s="2" t="s">
        <v>16</v>
      </c>
      <c r="D158" s="2">
        <v>19</v>
      </c>
      <c r="E158" s="2" t="s">
        <v>27</v>
      </c>
      <c r="F158" s="2">
        <v>1</v>
      </c>
      <c r="G158" s="2">
        <v>49</v>
      </c>
      <c r="H158" s="2">
        <v>83</v>
      </c>
      <c r="I158" s="2">
        <v>81</v>
      </c>
      <c r="J158" s="2">
        <v>93.55</v>
      </c>
      <c r="K158" s="2" t="s">
        <v>28</v>
      </c>
      <c r="L158" s="1">
        <f t="shared" si="7"/>
        <v>71</v>
      </c>
      <c r="M158" s="2" t="str">
        <f t="shared" si="8"/>
        <v>Pass</v>
      </c>
      <c r="N158" s="2" t="str">
        <f t="shared" si="6"/>
        <v>Stable</v>
      </c>
    </row>
    <row r="159" spans="1:14" x14ac:dyDescent="0.3">
      <c r="A159" s="2" t="s">
        <v>292</v>
      </c>
      <c r="B159" s="2" t="s">
        <v>293</v>
      </c>
      <c r="C159" s="2" t="s">
        <v>16</v>
      </c>
      <c r="D159" s="2">
        <v>22</v>
      </c>
      <c r="E159" s="2" t="s">
        <v>27</v>
      </c>
      <c r="F159" s="2">
        <v>3</v>
      </c>
      <c r="G159" s="2">
        <v>87</v>
      </c>
      <c r="H159" s="2">
        <v>47</v>
      </c>
      <c r="I159" s="2">
        <v>55</v>
      </c>
      <c r="J159" s="2">
        <v>60.41</v>
      </c>
      <c r="K159" s="2" t="s">
        <v>22</v>
      </c>
      <c r="L159" s="1">
        <f t="shared" si="7"/>
        <v>63</v>
      </c>
      <c r="M159" s="2" t="str">
        <f t="shared" si="8"/>
        <v>Pass</v>
      </c>
      <c r="N159" s="2" t="str">
        <f t="shared" si="6"/>
        <v>Stable</v>
      </c>
    </row>
    <row r="160" spans="1:14" x14ac:dyDescent="0.3">
      <c r="A160" s="2" t="s">
        <v>294</v>
      </c>
      <c r="B160" s="2" t="s">
        <v>211</v>
      </c>
      <c r="C160" s="2" t="s">
        <v>21</v>
      </c>
      <c r="D160" s="2">
        <v>18</v>
      </c>
      <c r="E160" s="2" t="s">
        <v>27</v>
      </c>
      <c r="F160" s="2">
        <v>2</v>
      </c>
      <c r="G160" s="2">
        <v>83</v>
      </c>
      <c r="H160" s="2">
        <v>80</v>
      </c>
      <c r="I160" s="2">
        <v>96</v>
      </c>
      <c r="J160" s="2">
        <v>66.17</v>
      </c>
      <c r="K160" s="2" t="s">
        <v>18</v>
      </c>
      <c r="L160" s="1">
        <f t="shared" si="7"/>
        <v>86.333333333333329</v>
      </c>
      <c r="M160" s="2" t="str">
        <f t="shared" si="8"/>
        <v>Pass</v>
      </c>
      <c r="N160" s="2" t="str">
        <f t="shared" si="6"/>
        <v>Stable</v>
      </c>
    </row>
    <row r="161" spans="1:14" x14ac:dyDescent="0.3">
      <c r="A161" s="2" t="s">
        <v>295</v>
      </c>
      <c r="B161" s="2" t="s">
        <v>103</v>
      </c>
      <c r="C161" s="2" t="s">
        <v>16</v>
      </c>
      <c r="D161" s="2">
        <v>22</v>
      </c>
      <c r="E161" s="2" t="s">
        <v>17</v>
      </c>
      <c r="F161" s="2">
        <v>5</v>
      </c>
      <c r="G161" s="2">
        <v>68</v>
      </c>
      <c r="H161" s="2">
        <v>83</v>
      </c>
      <c r="I161" s="2">
        <v>70</v>
      </c>
      <c r="J161" s="2">
        <v>65.23</v>
      </c>
      <c r="K161" s="2" t="s">
        <v>28</v>
      </c>
      <c r="L161" s="1">
        <f t="shared" si="7"/>
        <v>73.666666666666671</v>
      </c>
      <c r="M161" s="2" t="str">
        <f t="shared" si="8"/>
        <v>Pass</v>
      </c>
      <c r="N161" s="2" t="str">
        <f t="shared" si="6"/>
        <v>Stable</v>
      </c>
    </row>
    <row r="162" spans="1:14" x14ac:dyDescent="0.3">
      <c r="A162" s="2" t="s">
        <v>296</v>
      </c>
      <c r="B162" s="2" t="s">
        <v>281</v>
      </c>
      <c r="C162" s="2" t="s">
        <v>21</v>
      </c>
      <c r="D162" s="2">
        <v>20</v>
      </c>
      <c r="E162" s="2" t="s">
        <v>37</v>
      </c>
      <c r="F162" s="2">
        <v>2</v>
      </c>
      <c r="G162" s="2">
        <v>50</v>
      </c>
      <c r="H162" s="2">
        <v>100</v>
      </c>
      <c r="I162" s="2">
        <v>40</v>
      </c>
      <c r="J162" s="2">
        <v>72.62</v>
      </c>
      <c r="K162" s="2" t="s">
        <v>22</v>
      </c>
      <c r="L162" s="1">
        <f t="shared" si="7"/>
        <v>63.333333333333336</v>
      </c>
      <c r="M162" s="2" t="str">
        <f t="shared" si="8"/>
        <v>Pass</v>
      </c>
      <c r="N162" s="2" t="str">
        <f t="shared" si="6"/>
        <v>Stable</v>
      </c>
    </row>
    <row r="163" spans="1:14" x14ac:dyDescent="0.3">
      <c r="A163" s="2" t="s">
        <v>297</v>
      </c>
      <c r="B163" s="2" t="s">
        <v>179</v>
      </c>
      <c r="C163" s="2" t="s">
        <v>21</v>
      </c>
      <c r="D163" s="2">
        <v>23</v>
      </c>
      <c r="E163" s="2" t="s">
        <v>37</v>
      </c>
      <c r="F163" s="2">
        <v>6</v>
      </c>
      <c r="G163" s="2">
        <v>94</v>
      </c>
      <c r="H163" s="2">
        <v>60</v>
      </c>
      <c r="I163" s="2">
        <v>79</v>
      </c>
      <c r="J163" s="2">
        <v>86.4</v>
      </c>
      <c r="K163" s="2" t="s">
        <v>28</v>
      </c>
      <c r="L163" s="1">
        <f t="shared" si="7"/>
        <v>77.666666666666671</v>
      </c>
      <c r="M163" s="2" t="str">
        <f t="shared" si="8"/>
        <v>Pass</v>
      </c>
      <c r="N163" s="2" t="str">
        <f t="shared" si="6"/>
        <v>Stable</v>
      </c>
    </row>
    <row r="164" spans="1:14" x14ac:dyDescent="0.3">
      <c r="A164" s="2" t="s">
        <v>298</v>
      </c>
      <c r="B164" s="2" t="s">
        <v>299</v>
      </c>
      <c r="C164" s="2" t="s">
        <v>16</v>
      </c>
      <c r="D164" s="2">
        <v>21</v>
      </c>
      <c r="E164" s="2" t="s">
        <v>34</v>
      </c>
      <c r="F164" s="2">
        <v>5</v>
      </c>
      <c r="G164" s="2">
        <v>60</v>
      </c>
      <c r="H164" s="2">
        <v>59</v>
      </c>
      <c r="I164" s="2">
        <v>36</v>
      </c>
      <c r="J164" s="2">
        <v>74.819999999999993</v>
      </c>
      <c r="K164" s="2" t="s">
        <v>31</v>
      </c>
      <c r="L164" s="1">
        <f t="shared" si="7"/>
        <v>51.666666666666664</v>
      </c>
      <c r="M164" s="2" t="str">
        <f t="shared" si="8"/>
        <v>Fail</v>
      </c>
      <c r="N164" s="2" t="str">
        <f t="shared" si="6"/>
        <v>High Risk</v>
      </c>
    </row>
    <row r="165" spans="1:14" x14ac:dyDescent="0.3">
      <c r="A165" s="2" t="s">
        <v>300</v>
      </c>
      <c r="B165" s="2" t="s">
        <v>47</v>
      </c>
      <c r="C165" s="2" t="s">
        <v>21</v>
      </c>
      <c r="D165" s="2">
        <v>18</v>
      </c>
      <c r="E165" s="2" t="s">
        <v>37</v>
      </c>
      <c r="F165" s="2">
        <v>3</v>
      </c>
      <c r="G165" s="2">
        <v>36</v>
      </c>
      <c r="H165" s="2">
        <v>35</v>
      </c>
      <c r="I165" s="2">
        <v>45</v>
      </c>
      <c r="J165" s="2">
        <v>73.91</v>
      </c>
      <c r="K165" s="2" t="s">
        <v>55</v>
      </c>
      <c r="L165" s="1">
        <f t="shared" si="7"/>
        <v>38.666666666666664</v>
      </c>
      <c r="M165" s="2" t="str">
        <f t="shared" si="8"/>
        <v>Fail</v>
      </c>
      <c r="N165" s="2" t="str">
        <f t="shared" si="6"/>
        <v>High Risk</v>
      </c>
    </row>
    <row r="166" spans="1:14" x14ac:dyDescent="0.3">
      <c r="A166" s="2" t="s">
        <v>301</v>
      </c>
      <c r="B166" s="2" t="s">
        <v>302</v>
      </c>
      <c r="C166" s="2" t="s">
        <v>21</v>
      </c>
      <c r="D166" s="2">
        <v>22</v>
      </c>
      <c r="E166" s="2" t="s">
        <v>27</v>
      </c>
      <c r="F166" s="2">
        <v>1</v>
      </c>
      <c r="G166" s="2">
        <v>69</v>
      </c>
      <c r="H166" s="2">
        <v>57</v>
      </c>
      <c r="I166" s="2">
        <v>45</v>
      </c>
      <c r="J166" s="2">
        <v>79.62</v>
      </c>
      <c r="K166" s="2" t="s">
        <v>31</v>
      </c>
      <c r="L166" s="1">
        <f t="shared" si="7"/>
        <v>57</v>
      </c>
      <c r="M166" s="2" t="str">
        <f t="shared" si="8"/>
        <v>Pass</v>
      </c>
      <c r="N166" s="2" t="str">
        <f t="shared" si="6"/>
        <v>Monitor</v>
      </c>
    </row>
    <row r="167" spans="1:14" x14ac:dyDescent="0.3">
      <c r="A167" s="2" t="s">
        <v>303</v>
      </c>
      <c r="B167" s="2" t="s">
        <v>57</v>
      </c>
      <c r="C167" s="2" t="s">
        <v>16</v>
      </c>
      <c r="D167" s="2">
        <v>18</v>
      </c>
      <c r="E167" s="2" t="s">
        <v>50</v>
      </c>
      <c r="F167" s="2">
        <v>6</v>
      </c>
      <c r="G167" s="2">
        <v>54</v>
      </c>
      <c r="H167" s="2">
        <v>80</v>
      </c>
      <c r="I167" s="2">
        <v>38</v>
      </c>
      <c r="J167" s="2">
        <v>93.38</v>
      </c>
      <c r="K167" s="2" t="s">
        <v>31</v>
      </c>
      <c r="L167" s="1">
        <f t="shared" si="7"/>
        <v>57.333333333333336</v>
      </c>
      <c r="M167" s="2" t="str">
        <f t="shared" si="8"/>
        <v>Fail</v>
      </c>
      <c r="N167" s="2" t="str">
        <f t="shared" si="6"/>
        <v>High Risk</v>
      </c>
    </row>
    <row r="168" spans="1:14" x14ac:dyDescent="0.3">
      <c r="A168" s="2" t="s">
        <v>304</v>
      </c>
      <c r="B168" s="2" t="s">
        <v>258</v>
      </c>
      <c r="C168" s="2" t="s">
        <v>16</v>
      </c>
      <c r="D168" s="2">
        <v>20</v>
      </c>
      <c r="E168" s="2" t="s">
        <v>17</v>
      </c>
      <c r="F168" s="2">
        <v>1</v>
      </c>
      <c r="G168" s="2">
        <v>97</v>
      </c>
      <c r="H168" s="2">
        <v>72</v>
      </c>
      <c r="I168" s="2">
        <v>43</v>
      </c>
      <c r="J168" s="2">
        <v>69</v>
      </c>
      <c r="K168" s="2" t="s">
        <v>28</v>
      </c>
      <c r="L168" s="1">
        <f t="shared" si="7"/>
        <v>70.666666666666671</v>
      </c>
      <c r="M168" s="2" t="str">
        <f t="shared" si="8"/>
        <v>Pass</v>
      </c>
      <c r="N168" s="2" t="str">
        <f t="shared" si="6"/>
        <v>Stable</v>
      </c>
    </row>
    <row r="169" spans="1:14" x14ac:dyDescent="0.3">
      <c r="A169" s="2" t="s">
        <v>305</v>
      </c>
      <c r="B169" s="2" t="s">
        <v>116</v>
      </c>
      <c r="C169" s="2" t="s">
        <v>21</v>
      </c>
      <c r="D169" s="2">
        <v>19</v>
      </c>
      <c r="E169" s="2" t="s">
        <v>37</v>
      </c>
      <c r="F169" s="2">
        <v>5</v>
      </c>
      <c r="G169" s="2">
        <v>47</v>
      </c>
      <c r="H169" s="2">
        <v>60</v>
      </c>
      <c r="I169" s="2">
        <v>81</v>
      </c>
      <c r="J169" s="2">
        <v>86.51</v>
      </c>
      <c r="K169" s="2" t="s">
        <v>22</v>
      </c>
      <c r="L169" s="1">
        <f t="shared" si="7"/>
        <v>62.666666666666664</v>
      </c>
      <c r="M169" s="2" t="str">
        <f t="shared" si="8"/>
        <v>Pass</v>
      </c>
      <c r="N169" s="2" t="str">
        <f t="shared" si="6"/>
        <v>Stable</v>
      </c>
    </row>
    <row r="170" spans="1:14" x14ac:dyDescent="0.3">
      <c r="A170" s="2" t="s">
        <v>306</v>
      </c>
      <c r="B170" s="2" t="s">
        <v>68</v>
      </c>
      <c r="C170" s="2" t="s">
        <v>16</v>
      </c>
      <c r="D170" s="2">
        <v>20</v>
      </c>
      <c r="E170" s="2" t="s">
        <v>50</v>
      </c>
      <c r="F170" s="2">
        <v>5</v>
      </c>
      <c r="G170" s="2">
        <v>92</v>
      </c>
      <c r="H170" s="2">
        <v>65</v>
      </c>
      <c r="I170" s="2">
        <v>76</v>
      </c>
      <c r="J170" s="2">
        <v>71.069999999999993</v>
      </c>
      <c r="K170" s="2" t="s">
        <v>28</v>
      </c>
      <c r="L170" s="1">
        <f t="shared" si="7"/>
        <v>77.666666666666671</v>
      </c>
      <c r="M170" s="2" t="str">
        <f t="shared" si="8"/>
        <v>Pass</v>
      </c>
      <c r="N170" s="2" t="str">
        <f t="shared" si="6"/>
        <v>Stable</v>
      </c>
    </row>
    <row r="171" spans="1:14" x14ac:dyDescent="0.3">
      <c r="A171" s="2" t="s">
        <v>307</v>
      </c>
      <c r="B171" s="2" t="s">
        <v>308</v>
      </c>
      <c r="C171" s="2" t="s">
        <v>21</v>
      </c>
      <c r="D171" s="2">
        <v>22</v>
      </c>
      <c r="E171" s="2" t="s">
        <v>17</v>
      </c>
      <c r="F171" s="2">
        <v>5</v>
      </c>
      <c r="G171" s="2">
        <v>92</v>
      </c>
      <c r="H171" s="2">
        <v>45</v>
      </c>
      <c r="I171" s="2">
        <v>80</v>
      </c>
      <c r="J171" s="2">
        <v>97.89</v>
      </c>
      <c r="K171" s="2" t="s">
        <v>28</v>
      </c>
      <c r="L171" s="1">
        <f t="shared" si="7"/>
        <v>72.333333333333329</v>
      </c>
      <c r="M171" s="2" t="str">
        <f t="shared" si="8"/>
        <v>Pass</v>
      </c>
      <c r="N171" s="2" t="str">
        <f t="shared" si="6"/>
        <v>Stable</v>
      </c>
    </row>
    <row r="172" spans="1:14" x14ac:dyDescent="0.3">
      <c r="A172" s="2" t="s">
        <v>309</v>
      </c>
      <c r="B172" s="2" t="s">
        <v>138</v>
      </c>
      <c r="C172" s="2" t="s">
        <v>21</v>
      </c>
      <c r="D172" s="2">
        <v>20</v>
      </c>
      <c r="E172" s="2" t="s">
        <v>50</v>
      </c>
      <c r="F172" s="2">
        <v>6</v>
      </c>
      <c r="G172" s="2">
        <v>95</v>
      </c>
      <c r="H172" s="2">
        <v>38</v>
      </c>
      <c r="I172" s="2">
        <v>84</v>
      </c>
      <c r="J172" s="2">
        <v>64.69</v>
      </c>
      <c r="K172" s="2" t="s">
        <v>28</v>
      </c>
      <c r="L172" s="1">
        <f t="shared" si="7"/>
        <v>72.333333333333329</v>
      </c>
      <c r="M172" s="2" t="str">
        <f t="shared" si="8"/>
        <v>Fail</v>
      </c>
      <c r="N172" s="2" t="str">
        <f t="shared" si="6"/>
        <v>High Risk</v>
      </c>
    </row>
    <row r="173" spans="1:14" x14ac:dyDescent="0.3">
      <c r="A173" s="2" t="s">
        <v>310</v>
      </c>
      <c r="B173" s="2" t="s">
        <v>293</v>
      </c>
      <c r="C173" s="2" t="s">
        <v>16</v>
      </c>
      <c r="D173" s="2">
        <v>20</v>
      </c>
      <c r="E173" s="2" t="s">
        <v>50</v>
      </c>
      <c r="F173" s="2">
        <v>5</v>
      </c>
      <c r="G173" s="2">
        <v>49</v>
      </c>
      <c r="H173" s="2">
        <v>78</v>
      </c>
      <c r="I173" s="2">
        <v>42</v>
      </c>
      <c r="J173" s="2">
        <v>93.02</v>
      </c>
      <c r="K173" s="2" t="s">
        <v>31</v>
      </c>
      <c r="L173" s="1">
        <f t="shared" si="7"/>
        <v>56.333333333333336</v>
      </c>
      <c r="M173" s="2" t="str">
        <f t="shared" si="8"/>
        <v>Pass</v>
      </c>
      <c r="N173" s="2" t="str">
        <f t="shared" si="6"/>
        <v>Monitor</v>
      </c>
    </row>
    <row r="174" spans="1:14" x14ac:dyDescent="0.3">
      <c r="A174" s="2" t="s">
        <v>311</v>
      </c>
      <c r="B174" s="2" t="s">
        <v>312</v>
      </c>
      <c r="C174" s="2" t="s">
        <v>16</v>
      </c>
      <c r="D174" s="2">
        <v>23</v>
      </c>
      <c r="E174" s="2" t="s">
        <v>37</v>
      </c>
      <c r="F174" s="2">
        <v>4</v>
      </c>
      <c r="G174" s="2">
        <v>64</v>
      </c>
      <c r="H174" s="2">
        <v>73</v>
      </c>
      <c r="I174" s="2">
        <v>79</v>
      </c>
      <c r="J174" s="2">
        <v>70.14</v>
      </c>
      <c r="K174" s="2" t="s">
        <v>28</v>
      </c>
      <c r="L174" s="1">
        <f t="shared" si="7"/>
        <v>72</v>
      </c>
      <c r="M174" s="2" t="str">
        <f t="shared" si="8"/>
        <v>Pass</v>
      </c>
      <c r="N174" s="2" t="str">
        <f t="shared" si="6"/>
        <v>Stable</v>
      </c>
    </row>
    <row r="175" spans="1:14" x14ac:dyDescent="0.3">
      <c r="A175" s="2" t="s">
        <v>313</v>
      </c>
      <c r="B175" s="2" t="s">
        <v>314</v>
      </c>
      <c r="C175" s="2" t="s">
        <v>16</v>
      </c>
      <c r="D175" s="2">
        <v>22</v>
      </c>
      <c r="E175" s="2" t="s">
        <v>50</v>
      </c>
      <c r="F175" s="2">
        <v>3</v>
      </c>
      <c r="G175" s="2">
        <v>52</v>
      </c>
      <c r="H175" s="2">
        <v>67</v>
      </c>
      <c r="I175" s="2">
        <v>84</v>
      </c>
      <c r="J175" s="2">
        <v>71.680000000000007</v>
      </c>
      <c r="K175" s="2" t="s">
        <v>22</v>
      </c>
      <c r="L175" s="1">
        <f t="shared" si="7"/>
        <v>67.666666666666671</v>
      </c>
      <c r="M175" s="2" t="str">
        <f t="shared" si="8"/>
        <v>Pass</v>
      </c>
      <c r="N175" s="2" t="str">
        <f t="shared" si="6"/>
        <v>Stable</v>
      </c>
    </row>
    <row r="176" spans="1:14" x14ac:dyDescent="0.3">
      <c r="A176" s="2" t="s">
        <v>315</v>
      </c>
      <c r="B176" s="2" t="s">
        <v>26</v>
      </c>
      <c r="C176" s="2" t="s">
        <v>21</v>
      </c>
      <c r="D176" s="2">
        <v>21</v>
      </c>
      <c r="E176" s="2" t="s">
        <v>17</v>
      </c>
      <c r="F176" s="2">
        <v>3</v>
      </c>
      <c r="G176" s="2">
        <v>75</v>
      </c>
      <c r="H176" s="2">
        <v>59</v>
      </c>
      <c r="I176" s="2">
        <v>39</v>
      </c>
      <c r="J176" s="2">
        <v>63.58</v>
      </c>
      <c r="K176" s="2" t="s">
        <v>31</v>
      </c>
      <c r="L176" s="1">
        <f t="shared" si="7"/>
        <v>57.666666666666664</v>
      </c>
      <c r="M176" s="2" t="str">
        <f t="shared" si="8"/>
        <v>Fail</v>
      </c>
      <c r="N176" s="2" t="str">
        <f t="shared" si="6"/>
        <v>High Risk</v>
      </c>
    </row>
    <row r="177" spans="1:14" x14ac:dyDescent="0.3">
      <c r="A177" s="2" t="s">
        <v>316</v>
      </c>
      <c r="B177" s="2" t="s">
        <v>291</v>
      </c>
      <c r="C177" s="2" t="s">
        <v>16</v>
      </c>
      <c r="D177" s="2">
        <v>20</v>
      </c>
      <c r="E177" s="2" t="s">
        <v>34</v>
      </c>
      <c r="F177" s="2">
        <v>6</v>
      </c>
      <c r="G177" s="2">
        <v>62</v>
      </c>
      <c r="H177" s="2">
        <v>98</v>
      </c>
      <c r="I177" s="2">
        <v>84</v>
      </c>
      <c r="J177" s="2">
        <v>64.709999999999994</v>
      </c>
      <c r="K177" s="2" t="s">
        <v>18</v>
      </c>
      <c r="L177" s="1">
        <f t="shared" si="7"/>
        <v>81.333333333333329</v>
      </c>
      <c r="M177" s="2" t="str">
        <f t="shared" si="8"/>
        <v>Pass</v>
      </c>
      <c r="N177" s="2" t="str">
        <f t="shared" si="6"/>
        <v>Stable</v>
      </c>
    </row>
    <row r="178" spans="1:14" x14ac:dyDescent="0.3">
      <c r="A178" s="2" t="s">
        <v>317</v>
      </c>
      <c r="B178" s="2" t="s">
        <v>49</v>
      </c>
      <c r="C178" s="2" t="s">
        <v>21</v>
      </c>
      <c r="D178" s="2">
        <v>22</v>
      </c>
      <c r="E178" s="2" t="s">
        <v>27</v>
      </c>
      <c r="F178" s="2">
        <v>5</v>
      </c>
      <c r="G178" s="2">
        <v>84</v>
      </c>
      <c r="H178" s="2">
        <v>92</v>
      </c>
      <c r="I178" s="2">
        <v>74</v>
      </c>
      <c r="J178" s="2">
        <v>79.16</v>
      </c>
      <c r="K178" s="2" t="s">
        <v>18</v>
      </c>
      <c r="L178" s="1">
        <f t="shared" si="7"/>
        <v>83.333333333333329</v>
      </c>
      <c r="M178" s="2" t="str">
        <f t="shared" si="8"/>
        <v>Pass</v>
      </c>
      <c r="N178" s="2" t="str">
        <f t="shared" si="6"/>
        <v>Stable</v>
      </c>
    </row>
    <row r="179" spans="1:14" x14ac:dyDescent="0.3">
      <c r="A179" s="2" t="s">
        <v>318</v>
      </c>
      <c r="B179" s="2" t="s">
        <v>314</v>
      </c>
      <c r="C179" s="2" t="s">
        <v>21</v>
      </c>
      <c r="D179" s="2">
        <v>18</v>
      </c>
      <c r="E179" s="2" t="s">
        <v>27</v>
      </c>
      <c r="F179" s="2">
        <v>5</v>
      </c>
      <c r="G179" s="2">
        <v>62</v>
      </c>
      <c r="H179" s="2">
        <v>90</v>
      </c>
      <c r="I179" s="2">
        <v>71</v>
      </c>
      <c r="J179" s="2">
        <v>72.87</v>
      </c>
      <c r="K179" s="2" t="s">
        <v>28</v>
      </c>
      <c r="L179" s="1">
        <f t="shared" si="7"/>
        <v>74.333333333333329</v>
      </c>
      <c r="M179" s="2" t="str">
        <f t="shared" si="8"/>
        <v>Pass</v>
      </c>
      <c r="N179" s="2" t="str">
        <f t="shared" si="6"/>
        <v>Stable</v>
      </c>
    </row>
    <row r="180" spans="1:14" x14ac:dyDescent="0.3">
      <c r="A180" s="2" t="s">
        <v>319</v>
      </c>
      <c r="B180" s="2" t="s">
        <v>320</v>
      </c>
      <c r="C180" s="2" t="s">
        <v>21</v>
      </c>
      <c r="D180" s="2">
        <v>19</v>
      </c>
      <c r="E180" s="2" t="s">
        <v>17</v>
      </c>
      <c r="F180" s="2">
        <v>5</v>
      </c>
      <c r="G180" s="2">
        <v>60</v>
      </c>
      <c r="H180" s="2">
        <v>64</v>
      </c>
      <c r="I180" s="2">
        <v>88</v>
      </c>
      <c r="J180" s="2">
        <v>64.33</v>
      </c>
      <c r="K180" s="2" t="s">
        <v>28</v>
      </c>
      <c r="L180" s="1">
        <f t="shared" si="7"/>
        <v>70.666666666666671</v>
      </c>
      <c r="M180" s="2" t="str">
        <f t="shared" si="8"/>
        <v>Pass</v>
      </c>
      <c r="N180" s="2" t="str">
        <f t="shared" si="6"/>
        <v>Stable</v>
      </c>
    </row>
    <row r="181" spans="1:14" x14ac:dyDescent="0.3">
      <c r="A181" s="2" t="s">
        <v>321</v>
      </c>
      <c r="B181" s="2" t="s">
        <v>322</v>
      </c>
      <c r="C181" s="2" t="s">
        <v>16</v>
      </c>
      <c r="D181" s="2">
        <v>20</v>
      </c>
      <c r="E181" s="2" t="s">
        <v>17</v>
      </c>
      <c r="F181" s="2">
        <v>3</v>
      </c>
      <c r="G181" s="2">
        <v>57</v>
      </c>
      <c r="H181" s="2">
        <v>90</v>
      </c>
      <c r="I181" s="2">
        <v>94</v>
      </c>
      <c r="J181" s="2">
        <v>71.489999999999995</v>
      </c>
      <c r="K181" s="2" t="s">
        <v>18</v>
      </c>
      <c r="L181" s="1">
        <f t="shared" si="7"/>
        <v>80.333333333333329</v>
      </c>
      <c r="M181" s="2" t="str">
        <f t="shared" si="8"/>
        <v>Pass</v>
      </c>
      <c r="N181" s="2" t="str">
        <f t="shared" si="6"/>
        <v>Stable</v>
      </c>
    </row>
    <row r="182" spans="1:14" x14ac:dyDescent="0.3">
      <c r="A182" s="2" t="s">
        <v>323</v>
      </c>
      <c r="B182" s="2" t="s">
        <v>194</v>
      </c>
      <c r="C182" s="2" t="s">
        <v>16</v>
      </c>
      <c r="D182" s="2">
        <v>22</v>
      </c>
      <c r="E182" s="2" t="s">
        <v>17</v>
      </c>
      <c r="F182" s="2">
        <v>4</v>
      </c>
      <c r="G182" s="2">
        <v>48</v>
      </c>
      <c r="H182" s="2">
        <v>100</v>
      </c>
      <c r="I182" s="2">
        <v>89</v>
      </c>
      <c r="J182" s="2">
        <v>91.1</v>
      </c>
      <c r="K182" s="2" t="s">
        <v>28</v>
      </c>
      <c r="L182" s="1">
        <f t="shared" si="7"/>
        <v>79</v>
      </c>
      <c r="M182" s="2" t="str">
        <f t="shared" si="8"/>
        <v>Pass</v>
      </c>
      <c r="N182" s="2" t="str">
        <f t="shared" si="6"/>
        <v>Stable</v>
      </c>
    </row>
    <row r="183" spans="1:14" x14ac:dyDescent="0.3">
      <c r="A183" s="2" t="s">
        <v>324</v>
      </c>
      <c r="B183" s="2" t="s">
        <v>128</v>
      </c>
      <c r="C183" s="2" t="s">
        <v>16</v>
      </c>
      <c r="D183" s="2">
        <v>22</v>
      </c>
      <c r="E183" s="2" t="s">
        <v>50</v>
      </c>
      <c r="F183" s="2">
        <v>2</v>
      </c>
      <c r="G183" s="2">
        <v>83</v>
      </c>
      <c r="H183" s="2">
        <v>75</v>
      </c>
      <c r="I183" s="2">
        <v>92</v>
      </c>
      <c r="J183" s="2">
        <v>66.75</v>
      </c>
      <c r="K183" s="2" t="s">
        <v>18</v>
      </c>
      <c r="L183" s="1">
        <f t="shared" si="7"/>
        <v>83.333333333333329</v>
      </c>
      <c r="M183" s="2" t="str">
        <f t="shared" si="8"/>
        <v>Pass</v>
      </c>
      <c r="N183" s="2" t="str">
        <f t="shared" si="6"/>
        <v>Stable</v>
      </c>
    </row>
    <row r="184" spans="1:14" x14ac:dyDescent="0.3">
      <c r="A184" s="2" t="s">
        <v>325</v>
      </c>
      <c r="B184" s="2" t="s">
        <v>326</v>
      </c>
      <c r="C184" s="2" t="s">
        <v>21</v>
      </c>
      <c r="D184" s="2">
        <v>19</v>
      </c>
      <c r="E184" s="2" t="s">
        <v>27</v>
      </c>
      <c r="F184" s="2">
        <v>2</v>
      </c>
      <c r="G184" s="2">
        <v>61</v>
      </c>
      <c r="H184" s="2">
        <v>48</v>
      </c>
      <c r="I184" s="2">
        <v>52</v>
      </c>
      <c r="J184" s="2">
        <v>61.99</v>
      </c>
      <c r="K184" s="2" t="s">
        <v>31</v>
      </c>
      <c r="L184" s="1">
        <f t="shared" si="7"/>
        <v>53.666666666666664</v>
      </c>
      <c r="M184" s="2" t="str">
        <f t="shared" si="8"/>
        <v>Pass</v>
      </c>
      <c r="N184" s="2" t="str">
        <f t="shared" si="6"/>
        <v>Monitor</v>
      </c>
    </row>
    <row r="185" spans="1:14" x14ac:dyDescent="0.3">
      <c r="A185" s="2" t="s">
        <v>327</v>
      </c>
      <c r="B185" s="2" t="s">
        <v>93</v>
      </c>
      <c r="C185" s="2" t="s">
        <v>16</v>
      </c>
      <c r="D185" s="2">
        <v>18</v>
      </c>
      <c r="E185" s="2" t="s">
        <v>37</v>
      </c>
      <c r="F185" s="2">
        <v>2</v>
      </c>
      <c r="G185" s="2">
        <v>48</v>
      </c>
      <c r="H185" s="2">
        <v>36</v>
      </c>
      <c r="I185" s="2">
        <v>68</v>
      </c>
      <c r="J185" s="2">
        <v>73.540000000000006</v>
      </c>
      <c r="K185" s="2" t="s">
        <v>31</v>
      </c>
      <c r="L185" s="1">
        <f t="shared" si="7"/>
        <v>50.666666666666664</v>
      </c>
      <c r="M185" s="2" t="str">
        <f t="shared" si="8"/>
        <v>Fail</v>
      </c>
      <c r="N185" s="2" t="str">
        <f t="shared" si="6"/>
        <v>High Risk</v>
      </c>
    </row>
    <row r="186" spans="1:14" x14ac:dyDescent="0.3">
      <c r="A186" s="2" t="s">
        <v>328</v>
      </c>
      <c r="B186" s="2" t="s">
        <v>329</v>
      </c>
      <c r="C186" s="2" t="s">
        <v>21</v>
      </c>
      <c r="D186" s="2">
        <v>18</v>
      </c>
      <c r="E186" s="2" t="s">
        <v>34</v>
      </c>
      <c r="F186" s="2">
        <v>1</v>
      </c>
      <c r="G186" s="2">
        <v>47</v>
      </c>
      <c r="H186" s="2">
        <v>87</v>
      </c>
      <c r="I186" s="2">
        <v>52</v>
      </c>
      <c r="J186" s="2">
        <v>63.77</v>
      </c>
      <c r="K186" s="2" t="s">
        <v>22</v>
      </c>
      <c r="L186" s="1">
        <f t="shared" si="7"/>
        <v>62</v>
      </c>
      <c r="M186" s="2" t="str">
        <f t="shared" si="8"/>
        <v>Pass</v>
      </c>
      <c r="N186" s="2" t="str">
        <f t="shared" si="6"/>
        <v>Stable</v>
      </c>
    </row>
    <row r="187" spans="1:14" x14ac:dyDescent="0.3">
      <c r="A187" s="2" t="s">
        <v>330</v>
      </c>
      <c r="B187" s="2" t="s">
        <v>331</v>
      </c>
      <c r="C187" s="2" t="s">
        <v>16</v>
      </c>
      <c r="D187" s="2">
        <v>21</v>
      </c>
      <c r="E187" s="2" t="s">
        <v>37</v>
      </c>
      <c r="F187" s="2">
        <v>1</v>
      </c>
      <c r="G187" s="2">
        <v>36</v>
      </c>
      <c r="H187" s="2">
        <v>36</v>
      </c>
      <c r="I187" s="2">
        <v>39</v>
      </c>
      <c r="J187" s="2">
        <v>75.64</v>
      </c>
      <c r="K187" s="2" t="s">
        <v>55</v>
      </c>
      <c r="L187" s="1">
        <f t="shared" si="7"/>
        <v>37</v>
      </c>
      <c r="M187" s="2" t="str">
        <f t="shared" si="8"/>
        <v>Fail</v>
      </c>
      <c r="N187" s="2" t="str">
        <f t="shared" si="6"/>
        <v>High Risk</v>
      </c>
    </row>
    <row r="188" spans="1:14" x14ac:dyDescent="0.3">
      <c r="A188" s="2" t="s">
        <v>332</v>
      </c>
      <c r="B188" s="2" t="s">
        <v>333</v>
      </c>
      <c r="C188" s="2" t="s">
        <v>16</v>
      </c>
      <c r="D188" s="2">
        <v>22</v>
      </c>
      <c r="E188" s="2" t="s">
        <v>34</v>
      </c>
      <c r="F188" s="2">
        <v>6</v>
      </c>
      <c r="G188" s="2">
        <v>93</v>
      </c>
      <c r="H188" s="2">
        <v>48</v>
      </c>
      <c r="I188" s="2">
        <v>89</v>
      </c>
      <c r="J188" s="2">
        <v>91.53</v>
      </c>
      <c r="K188" s="2" t="s">
        <v>28</v>
      </c>
      <c r="L188" s="1">
        <f t="shared" si="7"/>
        <v>76.666666666666671</v>
      </c>
      <c r="M188" s="2" t="str">
        <f t="shared" si="8"/>
        <v>Pass</v>
      </c>
      <c r="N188" s="2" t="str">
        <f t="shared" si="6"/>
        <v>Stable</v>
      </c>
    </row>
    <row r="189" spans="1:14" x14ac:dyDescent="0.3">
      <c r="A189" s="2" t="s">
        <v>334</v>
      </c>
      <c r="B189" s="2" t="s">
        <v>335</v>
      </c>
      <c r="C189" s="2" t="s">
        <v>16</v>
      </c>
      <c r="D189" s="2">
        <v>21</v>
      </c>
      <c r="E189" s="2" t="s">
        <v>17</v>
      </c>
      <c r="F189" s="2">
        <v>2</v>
      </c>
      <c r="G189" s="2">
        <v>93</v>
      </c>
      <c r="H189" s="2">
        <v>95</v>
      </c>
      <c r="I189" s="2">
        <v>73</v>
      </c>
      <c r="J189" s="2">
        <v>94.86</v>
      </c>
      <c r="K189" s="2" t="s">
        <v>18</v>
      </c>
      <c r="L189" s="1">
        <f t="shared" si="7"/>
        <v>87</v>
      </c>
      <c r="M189" s="2" t="str">
        <f t="shared" si="8"/>
        <v>Pass</v>
      </c>
      <c r="N189" s="2" t="str">
        <f t="shared" si="6"/>
        <v>Stable</v>
      </c>
    </row>
    <row r="190" spans="1:14" x14ac:dyDescent="0.3">
      <c r="A190" s="2" t="s">
        <v>336</v>
      </c>
      <c r="B190" s="2" t="s">
        <v>337</v>
      </c>
      <c r="C190" s="2" t="s">
        <v>16</v>
      </c>
      <c r="D190" s="2">
        <v>18</v>
      </c>
      <c r="E190" s="2" t="s">
        <v>34</v>
      </c>
      <c r="F190" s="2">
        <v>5</v>
      </c>
      <c r="G190" s="2">
        <v>59</v>
      </c>
      <c r="H190" s="2">
        <v>82</v>
      </c>
      <c r="I190" s="2">
        <v>41</v>
      </c>
      <c r="J190" s="2">
        <v>87.34</v>
      </c>
      <c r="K190" s="2" t="s">
        <v>22</v>
      </c>
      <c r="L190" s="1">
        <f t="shared" si="7"/>
        <v>60.666666666666664</v>
      </c>
      <c r="M190" s="2" t="str">
        <f t="shared" si="8"/>
        <v>Pass</v>
      </c>
      <c r="N190" s="2" t="str">
        <f t="shared" si="6"/>
        <v>Stable</v>
      </c>
    </row>
    <row r="191" spans="1:14" x14ac:dyDescent="0.3">
      <c r="A191" s="2" t="s">
        <v>338</v>
      </c>
      <c r="B191" s="2" t="s">
        <v>123</v>
      </c>
      <c r="C191" s="2" t="s">
        <v>21</v>
      </c>
      <c r="D191" s="2">
        <v>22</v>
      </c>
      <c r="E191" s="2" t="s">
        <v>17</v>
      </c>
      <c r="F191" s="2">
        <v>3</v>
      </c>
      <c r="G191" s="2">
        <v>63</v>
      </c>
      <c r="H191" s="2">
        <v>43</v>
      </c>
      <c r="I191" s="2">
        <v>67</v>
      </c>
      <c r="J191" s="2">
        <v>75.930000000000007</v>
      </c>
      <c r="K191" s="2" t="s">
        <v>31</v>
      </c>
      <c r="L191" s="1">
        <f t="shared" si="7"/>
        <v>57.666666666666664</v>
      </c>
      <c r="M191" s="2" t="str">
        <f t="shared" si="8"/>
        <v>Pass</v>
      </c>
      <c r="N191" s="2" t="str">
        <f t="shared" si="6"/>
        <v>Monitor</v>
      </c>
    </row>
    <row r="192" spans="1:14" x14ac:dyDescent="0.3">
      <c r="A192" s="2" t="s">
        <v>339</v>
      </c>
      <c r="B192" s="2" t="s">
        <v>84</v>
      </c>
      <c r="C192" s="2" t="s">
        <v>16</v>
      </c>
      <c r="D192" s="2">
        <v>18</v>
      </c>
      <c r="E192" s="2" t="s">
        <v>17</v>
      </c>
      <c r="F192" s="2">
        <v>6</v>
      </c>
      <c r="G192" s="2">
        <v>97</v>
      </c>
      <c r="H192" s="2">
        <v>67</v>
      </c>
      <c r="I192" s="2">
        <v>79</v>
      </c>
      <c r="J192" s="2">
        <v>75.489999999999995</v>
      </c>
      <c r="K192" s="2" t="s">
        <v>18</v>
      </c>
      <c r="L192" s="1">
        <f t="shared" si="7"/>
        <v>81</v>
      </c>
      <c r="M192" s="2" t="str">
        <f t="shared" si="8"/>
        <v>Pass</v>
      </c>
      <c r="N192" s="2" t="str">
        <f t="shared" si="6"/>
        <v>Stable</v>
      </c>
    </row>
    <row r="193" spans="1:14" x14ac:dyDescent="0.3">
      <c r="A193" s="2" t="s">
        <v>340</v>
      </c>
      <c r="B193" s="2" t="s">
        <v>143</v>
      </c>
      <c r="C193" s="2" t="s">
        <v>21</v>
      </c>
      <c r="D193" s="2">
        <v>22</v>
      </c>
      <c r="E193" s="2" t="s">
        <v>34</v>
      </c>
      <c r="F193" s="2">
        <v>4</v>
      </c>
      <c r="G193" s="2">
        <v>47</v>
      </c>
      <c r="H193" s="2">
        <v>73</v>
      </c>
      <c r="I193" s="2">
        <v>40</v>
      </c>
      <c r="J193" s="2">
        <v>89.78</v>
      </c>
      <c r="K193" s="2" t="s">
        <v>31</v>
      </c>
      <c r="L193" s="1">
        <f t="shared" si="7"/>
        <v>53.333333333333336</v>
      </c>
      <c r="M193" s="2" t="str">
        <f t="shared" si="8"/>
        <v>Pass</v>
      </c>
      <c r="N193" s="2" t="str">
        <f t="shared" si="6"/>
        <v>Monitor</v>
      </c>
    </row>
    <row r="194" spans="1:14" x14ac:dyDescent="0.3">
      <c r="A194" s="2" t="s">
        <v>341</v>
      </c>
      <c r="B194" s="2" t="s">
        <v>220</v>
      </c>
      <c r="C194" s="2" t="s">
        <v>21</v>
      </c>
      <c r="D194" s="2">
        <v>19</v>
      </c>
      <c r="E194" s="2" t="s">
        <v>17</v>
      </c>
      <c r="F194" s="2">
        <v>3</v>
      </c>
      <c r="G194" s="2">
        <v>42</v>
      </c>
      <c r="H194" s="2">
        <v>88</v>
      </c>
      <c r="I194" s="2">
        <v>91</v>
      </c>
      <c r="J194" s="2">
        <v>84.37</v>
      </c>
      <c r="K194" s="2" t="s">
        <v>28</v>
      </c>
      <c r="L194" s="1">
        <f t="shared" si="7"/>
        <v>73.666666666666671</v>
      </c>
      <c r="M194" s="2" t="str">
        <f t="shared" si="8"/>
        <v>Pass</v>
      </c>
      <c r="N194" s="2" t="str">
        <f t="shared" ref="N194:N257" si="9">_xlfn.IFS(M194="Fail", "High Risk", L194&lt;60, "Monitor", TRUE, "Stable")</f>
        <v>Stable</v>
      </c>
    </row>
    <row r="195" spans="1:14" x14ac:dyDescent="0.3">
      <c r="A195" s="2" t="s">
        <v>342</v>
      </c>
      <c r="B195" s="2" t="s">
        <v>331</v>
      </c>
      <c r="C195" s="2" t="s">
        <v>16</v>
      </c>
      <c r="D195" s="2">
        <v>20</v>
      </c>
      <c r="E195" s="2" t="s">
        <v>27</v>
      </c>
      <c r="F195" s="2">
        <v>1</v>
      </c>
      <c r="G195" s="2">
        <v>82</v>
      </c>
      <c r="H195" s="2">
        <v>86</v>
      </c>
      <c r="I195" s="2">
        <v>70</v>
      </c>
      <c r="J195" s="2">
        <v>69.959999999999994</v>
      </c>
      <c r="K195" s="2" t="s">
        <v>28</v>
      </c>
      <c r="L195" s="1">
        <f t="shared" si="7"/>
        <v>79.333333333333329</v>
      </c>
      <c r="M195" s="2" t="str">
        <f t="shared" si="8"/>
        <v>Pass</v>
      </c>
      <c r="N195" s="2" t="str">
        <f t="shared" si="9"/>
        <v>Stable</v>
      </c>
    </row>
    <row r="196" spans="1:14" x14ac:dyDescent="0.3">
      <c r="A196" s="2" t="s">
        <v>343</v>
      </c>
      <c r="B196" s="2" t="s">
        <v>344</v>
      </c>
      <c r="C196" s="2" t="s">
        <v>21</v>
      </c>
      <c r="D196" s="2">
        <v>22</v>
      </c>
      <c r="E196" s="2" t="s">
        <v>50</v>
      </c>
      <c r="F196" s="2">
        <v>1</v>
      </c>
      <c r="G196" s="2">
        <v>99</v>
      </c>
      <c r="H196" s="2">
        <v>66</v>
      </c>
      <c r="I196" s="2">
        <v>64</v>
      </c>
      <c r="J196" s="2">
        <v>72.61</v>
      </c>
      <c r="K196" s="2" t="s">
        <v>28</v>
      </c>
      <c r="L196" s="1">
        <f t="shared" ref="L196:L259" si="10">AVERAGE(G196:I196)</f>
        <v>76.333333333333329</v>
      </c>
      <c r="M196" s="2" t="str">
        <f t="shared" ref="M196:M259" si="11">IF(OR(G196&lt;40, H196&lt;40, I196&lt;40), "Fail", "Pass")</f>
        <v>Pass</v>
      </c>
      <c r="N196" s="2" t="str">
        <f t="shared" si="9"/>
        <v>Stable</v>
      </c>
    </row>
    <row r="197" spans="1:14" x14ac:dyDescent="0.3">
      <c r="A197" s="2" t="s">
        <v>345</v>
      </c>
      <c r="B197" s="2" t="s">
        <v>103</v>
      </c>
      <c r="C197" s="2" t="s">
        <v>16</v>
      </c>
      <c r="D197" s="2">
        <v>22</v>
      </c>
      <c r="E197" s="2" t="s">
        <v>50</v>
      </c>
      <c r="F197" s="2">
        <v>5</v>
      </c>
      <c r="G197" s="2">
        <v>68</v>
      </c>
      <c r="H197" s="2">
        <v>50</v>
      </c>
      <c r="I197" s="2">
        <v>62</v>
      </c>
      <c r="J197" s="2">
        <v>95.25</v>
      </c>
      <c r="K197" s="2" t="s">
        <v>22</v>
      </c>
      <c r="L197" s="1">
        <f t="shared" si="10"/>
        <v>60</v>
      </c>
      <c r="M197" s="2" t="str">
        <f t="shared" si="11"/>
        <v>Pass</v>
      </c>
      <c r="N197" s="2" t="str">
        <f t="shared" si="9"/>
        <v>Stable</v>
      </c>
    </row>
    <row r="198" spans="1:14" x14ac:dyDescent="0.3">
      <c r="A198" s="2" t="s">
        <v>346</v>
      </c>
      <c r="B198" s="2" t="s">
        <v>347</v>
      </c>
      <c r="C198" s="2" t="s">
        <v>21</v>
      </c>
      <c r="D198" s="2">
        <v>18</v>
      </c>
      <c r="E198" s="2" t="s">
        <v>27</v>
      </c>
      <c r="F198" s="2">
        <v>2</v>
      </c>
      <c r="G198" s="2">
        <v>92</v>
      </c>
      <c r="H198" s="2">
        <v>51</v>
      </c>
      <c r="I198" s="2">
        <v>41</v>
      </c>
      <c r="J198" s="2">
        <v>68.05</v>
      </c>
      <c r="K198" s="2" t="s">
        <v>22</v>
      </c>
      <c r="L198" s="1">
        <f t="shared" si="10"/>
        <v>61.333333333333336</v>
      </c>
      <c r="M198" s="2" t="str">
        <f t="shared" si="11"/>
        <v>Pass</v>
      </c>
      <c r="N198" s="2" t="str">
        <f t="shared" si="9"/>
        <v>Stable</v>
      </c>
    </row>
    <row r="199" spans="1:14" x14ac:dyDescent="0.3">
      <c r="A199" s="2" t="s">
        <v>348</v>
      </c>
      <c r="B199" s="2" t="s">
        <v>41</v>
      </c>
      <c r="C199" s="2" t="s">
        <v>16</v>
      </c>
      <c r="D199" s="2">
        <v>18</v>
      </c>
      <c r="E199" s="2" t="s">
        <v>17</v>
      </c>
      <c r="F199" s="2">
        <v>2</v>
      </c>
      <c r="G199" s="2">
        <v>78</v>
      </c>
      <c r="H199" s="2">
        <v>67</v>
      </c>
      <c r="I199" s="2">
        <v>82</v>
      </c>
      <c r="J199" s="2">
        <v>71.09</v>
      </c>
      <c r="K199" s="2" t="s">
        <v>28</v>
      </c>
      <c r="L199" s="1">
        <f t="shared" si="10"/>
        <v>75.666666666666671</v>
      </c>
      <c r="M199" s="2" t="str">
        <f t="shared" si="11"/>
        <v>Pass</v>
      </c>
      <c r="N199" s="2" t="str">
        <f t="shared" si="9"/>
        <v>Stable</v>
      </c>
    </row>
    <row r="200" spans="1:14" x14ac:dyDescent="0.3">
      <c r="A200" s="2" t="s">
        <v>349</v>
      </c>
      <c r="B200" s="2" t="s">
        <v>350</v>
      </c>
      <c r="C200" s="2" t="s">
        <v>21</v>
      </c>
      <c r="D200" s="2">
        <v>20</v>
      </c>
      <c r="E200" s="2" t="s">
        <v>34</v>
      </c>
      <c r="F200" s="2">
        <v>5</v>
      </c>
      <c r="G200" s="2">
        <v>42</v>
      </c>
      <c r="H200" s="2">
        <v>54</v>
      </c>
      <c r="I200" s="2">
        <v>73</v>
      </c>
      <c r="J200" s="2">
        <v>77.91</v>
      </c>
      <c r="K200" s="2" t="s">
        <v>31</v>
      </c>
      <c r="L200" s="1">
        <f t="shared" si="10"/>
        <v>56.333333333333336</v>
      </c>
      <c r="M200" s="2" t="str">
        <f t="shared" si="11"/>
        <v>Pass</v>
      </c>
      <c r="N200" s="2" t="str">
        <f t="shared" si="9"/>
        <v>Monitor</v>
      </c>
    </row>
    <row r="201" spans="1:14" x14ac:dyDescent="0.3">
      <c r="A201" s="2" t="s">
        <v>351</v>
      </c>
      <c r="B201" s="2" t="s">
        <v>320</v>
      </c>
      <c r="C201" s="2" t="s">
        <v>16</v>
      </c>
      <c r="D201" s="2">
        <v>21</v>
      </c>
      <c r="E201" s="2" t="s">
        <v>17</v>
      </c>
      <c r="F201" s="2">
        <v>4</v>
      </c>
      <c r="G201" s="2">
        <v>100</v>
      </c>
      <c r="H201" s="2">
        <v>54</v>
      </c>
      <c r="I201" s="2">
        <v>44</v>
      </c>
      <c r="J201" s="2">
        <v>75.819999999999993</v>
      </c>
      <c r="K201" s="2" t="s">
        <v>22</v>
      </c>
      <c r="L201" s="1">
        <f t="shared" si="10"/>
        <v>66</v>
      </c>
      <c r="M201" s="2" t="str">
        <f t="shared" si="11"/>
        <v>Pass</v>
      </c>
      <c r="N201" s="2" t="str">
        <f t="shared" si="9"/>
        <v>Stable</v>
      </c>
    </row>
    <row r="202" spans="1:14" x14ac:dyDescent="0.3">
      <c r="A202" s="2" t="s">
        <v>352</v>
      </c>
      <c r="B202" s="2" t="s">
        <v>93</v>
      </c>
      <c r="C202" s="2" t="s">
        <v>21</v>
      </c>
      <c r="D202" s="2">
        <v>21</v>
      </c>
      <c r="E202" s="2" t="s">
        <v>17</v>
      </c>
      <c r="F202" s="2">
        <v>6</v>
      </c>
      <c r="G202" s="2">
        <v>60</v>
      </c>
      <c r="H202" s="2">
        <v>94</v>
      </c>
      <c r="I202" s="2">
        <v>80</v>
      </c>
      <c r="J202" s="2">
        <v>88.38</v>
      </c>
      <c r="K202" s="2" t="s">
        <v>28</v>
      </c>
      <c r="L202" s="1">
        <f t="shared" si="10"/>
        <v>78</v>
      </c>
      <c r="M202" s="2" t="str">
        <f t="shared" si="11"/>
        <v>Pass</v>
      </c>
      <c r="N202" s="2" t="str">
        <f t="shared" si="9"/>
        <v>Stable</v>
      </c>
    </row>
    <row r="203" spans="1:14" x14ac:dyDescent="0.3">
      <c r="A203" s="2" t="s">
        <v>353</v>
      </c>
      <c r="B203" s="2" t="s">
        <v>279</v>
      </c>
      <c r="C203" s="2" t="s">
        <v>16</v>
      </c>
      <c r="D203" s="2">
        <v>22</v>
      </c>
      <c r="E203" s="2" t="s">
        <v>17</v>
      </c>
      <c r="F203" s="2">
        <v>4</v>
      </c>
      <c r="G203" s="2">
        <v>93</v>
      </c>
      <c r="H203" s="2">
        <v>48</v>
      </c>
      <c r="I203" s="2">
        <v>67</v>
      </c>
      <c r="J203" s="2">
        <v>93.02</v>
      </c>
      <c r="K203" s="2" t="s">
        <v>22</v>
      </c>
      <c r="L203" s="1">
        <f t="shared" si="10"/>
        <v>69.333333333333329</v>
      </c>
      <c r="M203" s="2" t="str">
        <f t="shared" si="11"/>
        <v>Pass</v>
      </c>
      <c r="N203" s="2" t="str">
        <f t="shared" si="9"/>
        <v>Stable</v>
      </c>
    </row>
    <row r="204" spans="1:14" x14ac:dyDescent="0.3">
      <c r="A204" s="2" t="s">
        <v>354</v>
      </c>
      <c r="B204" s="2" t="s">
        <v>147</v>
      </c>
      <c r="C204" s="2" t="s">
        <v>21</v>
      </c>
      <c r="D204" s="2">
        <v>21</v>
      </c>
      <c r="E204" s="2" t="s">
        <v>27</v>
      </c>
      <c r="F204" s="2">
        <v>4</v>
      </c>
      <c r="G204" s="2">
        <v>74</v>
      </c>
      <c r="H204" s="2">
        <v>58</v>
      </c>
      <c r="I204" s="2">
        <v>43</v>
      </c>
      <c r="J204" s="2">
        <v>83.84</v>
      </c>
      <c r="K204" s="2" t="s">
        <v>31</v>
      </c>
      <c r="L204" s="1">
        <f t="shared" si="10"/>
        <v>58.333333333333336</v>
      </c>
      <c r="M204" s="2" t="str">
        <f t="shared" si="11"/>
        <v>Pass</v>
      </c>
      <c r="N204" s="2" t="str">
        <f t="shared" si="9"/>
        <v>Monitor</v>
      </c>
    </row>
    <row r="205" spans="1:14" x14ac:dyDescent="0.3">
      <c r="A205" s="2" t="s">
        <v>355</v>
      </c>
      <c r="B205" s="2" t="s">
        <v>356</v>
      </c>
      <c r="C205" s="2" t="s">
        <v>16</v>
      </c>
      <c r="D205" s="2">
        <v>20</v>
      </c>
      <c r="E205" s="2" t="s">
        <v>27</v>
      </c>
      <c r="F205" s="2">
        <v>5</v>
      </c>
      <c r="G205" s="2">
        <v>71</v>
      </c>
      <c r="H205" s="2">
        <v>95</v>
      </c>
      <c r="I205" s="2">
        <v>82</v>
      </c>
      <c r="J205" s="2">
        <v>69.84</v>
      </c>
      <c r="K205" s="2" t="s">
        <v>18</v>
      </c>
      <c r="L205" s="1">
        <f t="shared" si="10"/>
        <v>82.666666666666671</v>
      </c>
      <c r="M205" s="2" t="str">
        <f t="shared" si="11"/>
        <v>Pass</v>
      </c>
      <c r="N205" s="2" t="str">
        <f t="shared" si="9"/>
        <v>Stable</v>
      </c>
    </row>
    <row r="206" spans="1:14" x14ac:dyDescent="0.3">
      <c r="A206" s="2" t="s">
        <v>357</v>
      </c>
      <c r="B206" s="2" t="s">
        <v>128</v>
      </c>
      <c r="C206" s="2" t="s">
        <v>16</v>
      </c>
      <c r="D206" s="2">
        <v>19</v>
      </c>
      <c r="E206" s="2" t="s">
        <v>50</v>
      </c>
      <c r="F206" s="2">
        <v>2</v>
      </c>
      <c r="G206" s="2">
        <v>46</v>
      </c>
      <c r="H206" s="2">
        <v>98</v>
      </c>
      <c r="I206" s="2">
        <v>64</v>
      </c>
      <c r="J206" s="2">
        <v>98.06</v>
      </c>
      <c r="K206" s="2" t="s">
        <v>22</v>
      </c>
      <c r="L206" s="1">
        <f t="shared" si="10"/>
        <v>69.333333333333329</v>
      </c>
      <c r="M206" s="2" t="str">
        <f t="shared" si="11"/>
        <v>Pass</v>
      </c>
      <c r="N206" s="2" t="str">
        <f t="shared" si="9"/>
        <v>Stable</v>
      </c>
    </row>
    <row r="207" spans="1:14" x14ac:dyDescent="0.3">
      <c r="A207" s="2" t="s">
        <v>358</v>
      </c>
      <c r="B207" s="2" t="s">
        <v>229</v>
      </c>
      <c r="C207" s="2" t="s">
        <v>16</v>
      </c>
      <c r="D207" s="2">
        <v>20</v>
      </c>
      <c r="E207" s="2" t="s">
        <v>27</v>
      </c>
      <c r="F207" s="2">
        <v>1</v>
      </c>
      <c r="G207" s="2">
        <v>93</v>
      </c>
      <c r="H207" s="2">
        <v>91</v>
      </c>
      <c r="I207" s="2">
        <v>60</v>
      </c>
      <c r="J207" s="2">
        <v>67.83</v>
      </c>
      <c r="K207" s="2" t="s">
        <v>18</v>
      </c>
      <c r="L207" s="1">
        <f t="shared" si="10"/>
        <v>81.333333333333329</v>
      </c>
      <c r="M207" s="2" t="str">
        <f t="shared" si="11"/>
        <v>Pass</v>
      </c>
      <c r="N207" s="2" t="str">
        <f t="shared" si="9"/>
        <v>Stable</v>
      </c>
    </row>
    <row r="208" spans="1:14" x14ac:dyDescent="0.3">
      <c r="A208" s="2" t="s">
        <v>359</v>
      </c>
      <c r="B208" s="2" t="s">
        <v>329</v>
      </c>
      <c r="C208" s="2" t="s">
        <v>21</v>
      </c>
      <c r="D208" s="2">
        <v>20</v>
      </c>
      <c r="E208" s="2" t="s">
        <v>27</v>
      </c>
      <c r="F208" s="2">
        <v>1</v>
      </c>
      <c r="G208" s="2">
        <v>58</v>
      </c>
      <c r="H208" s="2">
        <v>79</v>
      </c>
      <c r="I208" s="2">
        <v>75</v>
      </c>
      <c r="J208" s="2">
        <v>99.54</v>
      </c>
      <c r="K208" s="2" t="s">
        <v>28</v>
      </c>
      <c r="L208" s="1">
        <f t="shared" si="10"/>
        <v>70.666666666666671</v>
      </c>
      <c r="M208" s="2" t="str">
        <f t="shared" si="11"/>
        <v>Pass</v>
      </c>
      <c r="N208" s="2" t="str">
        <f t="shared" si="9"/>
        <v>Stable</v>
      </c>
    </row>
    <row r="209" spans="1:14" x14ac:dyDescent="0.3">
      <c r="A209" s="2" t="s">
        <v>360</v>
      </c>
      <c r="B209" s="2" t="s">
        <v>267</v>
      </c>
      <c r="C209" s="2" t="s">
        <v>21</v>
      </c>
      <c r="D209" s="2">
        <v>19</v>
      </c>
      <c r="E209" s="2" t="s">
        <v>50</v>
      </c>
      <c r="F209" s="2">
        <v>3</v>
      </c>
      <c r="G209" s="2">
        <v>58</v>
      </c>
      <c r="H209" s="2">
        <v>35</v>
      </c>
      <c r="I209" s="2">
        <v>53</v>
      </c>
      <c r="J209" s="2">
        <v>74.41</v>
      </c>
      <c r="K209" s="2" t="s">
        <v>55</v>
      </c>
      <c r="L209" s="1">
        <f t="shared" si="10"/>
        <v>48.666666666666664</v>
      </c>
      <c r="M209" s="2" t="str">
        <f t="shared" si="11"/>
        <v>Fail</v>
      </c>
      <c r="N209" s="2" t="str">
        <f t="shared" si="9"/>
        <v>High Risk</v>
      </c>
    </row>
    <row r="210" spans="1:14" x14ac:dyDescent="0.3">
      <c r="A210" s="2" t="s">
        <v>361</v>
      </c>
      <c r="B210" s="2" t="s">
        <v>362</v>
      </c>
      <c r="C210" s="2" t="s">
        <v>16</v>
      </c>
      <c r="D210" s="2">
        <v>18</v>
      </c>
      <c r="E210" s="2" t="s">
        <v>50</v>
      </c>
      <c r="F210" s="2">
        <v>3</v>
      </c>
      <c r="G210" s="2">
        <v>63</v>
      </c>
      <c r="H210" s="2">
        <v>76</v>
      </c>
      <c r="I210" s="2">
        <v>63</v>
      </c>
      <c r="J210" s="2">
        <v>69.14</v>
      </c>
      <c r="K210" s="2" t="s">
        <v>22</v>
      </c>
      <c r="L210" s="1">
        <f t="shared" si="10"/>
        <v>67.333333333333329</v>
      </c>
      <c r="M210" s="2" t="str">
        <f t="shared" si="11"/>
        <v>Pass</v>
      </c>
      <c r="N210" s="2" t="str">
        <f t="shared" si="9"/>
        <v>Stable</v>
      </c>
    </row>
    <row r="211" spans="1:14" x14ac:dyDescent="0.3">
      <c r="A211" s="2" t="s">
        <v>363</v>
      </c>
      <c r="B211" s="2" t="s">
        <v>364</v>
      </c>
      <c r="C211" s="2" t="s">
        <v>21</v>
      </c>
      <c r="D211" s="2">
        <v>18</v>
      </c>
      <c r="E211" s="2" t="s">
        <v>17</v>
      </c>
      <c r="F211" s="2">
        <v>3</v>
      </c>
      <c r="G211" s="2">
        <v>97</v>
      </c>
      <c r="H211" s="2">
        <v>86</v>
      </c>
      <c r="I211" s="2">
        <v>61</v>
      </c>
      <c r="J211" s="2">
        <v>68.709999999999994</v>
      </c>
      <c r="K211" s="2" t="s">
        <v>18</v>
      </c>
      <c r="L211" s="1">
        <f t="shared" si="10"/>
        <v>81.333333333333329</v>
      </c>
      <c r="M211" s="2" t="str">
        <f t="shared" si="11"/>
        <v>Pass</v>
      </c>
      <c r="N211" s="2" t="str">
        <f t="shared" si="9"/>
        <v>Stable</v>
      </c>
    </row>
    <row r="212" spans="1:14" x14ac:dyDescent="0.3">
      <c r="A212" s="2" t="s">
        <v>365</v>
      </c>
      <c r="B212" s="2" t="s">
        <v>366</v>
      </c>
      <c r="C212" s="2" t="s">
        <v>16</v>
      </c>
      <c r="D212" s="2">
        <v>18</v>
      </c>
      <c r="E212" s="2" t="s">
        <v>37</v>
      </c>
      <c r="F212" s="2">
        <v>3</v>
      </c>
      <c r="G212" s="2">
        <v>67</v>
      </c>
      <c r="H212" s="2">
        <v>67</v>
      </c>
      <c r="I212" s="2">
        <v>83</v>
      </c>
      <c r="J212" s="2">
        <v>88.54</v>
      </c>
      <c r="K212" s="2" t="s">
        <v>28</v>
      </c>
      <c r="L212" s="1">
        <f t="shared" si="10"/>
        <v>72.333333333333329</v>
      </c>
      <c r="M212" s="2" t="str">
        <f t="shared" si="11"/>
        <v>Pass</v>
      </c>
      <c r="N212" s="2" t="str">
        <f t="shared" si="9"/>
        <v>Stable</v>
      </c>
    </row>
    <row r="213" spans="1:14" x14ac:dyDescent="0.3">
      <c r="A213" s="2" t="s">
        <v>367</v>
      </c>
      <c r="B213" s="2" t="s">
        <v>368</v>
      </c>
      <c r="C213" s="2" t="s">
        <v>21</v>
      </c>
      <c r="D213" s="2">
        <v>23</v>
      </c>
      <c r="E213" s="2" t="s">
        <v>50</v>
      </c>
      <c r="F213" s="2">
        <v>3</v>
      </c>
      <c r="G213" s="2">
        <v>80</v>
      </c>
      <c r="H213" s="2">
        <v>46</v>
      </c>
      <c r="I213" s="2">
        <v>84</v>
      </c>
      <c r="J213" s="2">
        <v>90.17</v>
      </c>
      <c r="K213" s="2" t="s">
        <v>28</v>
      </c>
      <c r="L213" s="1">
        <f t="shared" si="10"/>
        <v>70</v>
      </c>
      <c r="M213" s="2" t="str">
        <f t="shared" si="11"/>
        <v>Pass</v>
      </c>
      <c r="N213" s="2" t="str">
        <f t="shared" si="9"/>
        <v>Stable</v>
      </c>
    </row>
    <row r="214" spans="1:14" x14ac:dyDescent="0.3">
      <c r="A214" s="2" t="s">
        <v>369</v>
      </c>
      <c r="B214" s="2" t="s">
        <v>33</v>
      </c>
      <c r="C214" s="2" t="s">
        <v>16</v>
      </c>
      <c r="D214" s="2">
        <v>23</v>
      </c>
      <c r="E214" s="2" t="s">
        <v>27</v>
      </c>
      <c r="F214" s="2">
        <v>6</v>
      </c>
      <c r="G214" s="2">
        <v>81</v>
      </c>
      <c r="H214" s="2">
        <v>52</v>
      </c>
      <c r="I214" s="2">
        <v>46</v>
      </c>
      <c r="J214" s="2">
        <v>83.86</v>
      </c>
      <c r="K214" s="2" t="s">
        <v>31</v>
      </c>
      <c r="L214" s="1">
        <f t="shared" si="10"/>
        <v>59.666666666666664</v>
      </c>
      <c r="M214" s="2" t="str">
        <f t="shared" si="11"/>
        <v>Pass</v>
      </c>
      <c r="N214" s="2" t="str">
        <f t="shared" si="9"/>
        <v>Monitor</v>
      </c>
    </row>
    <row r="215" spans="1:14" x14ac:dyDescent="0.3">
      <c r="A215" s="2" t="s">
        <v>370</v>
      </c>
      <c r="B215" s="2" t="s">
        <v>270</v>
      </c>
      <c r="C215" s="2" t="s">
        <v>21</v>
      </c>
      <c r="D215" s="2">
        <v>21</v>
      </c>
      <c r="E215" s="2" t="s">
        <v>17</v>
      </c>
      <c r="F215" s="2">
        <v>4</v>
      </c>
      <c r="G215" s="2">
        <v>84</v>
      </c>
      <c r="H215" s="2">
        <v>78</v>
      </c>
      <c r="I215" s="2">
        <v>50</v>
      </c>
      <c r="J215" s="2">
        <v>98.98</v>
      </c>
      <c r="K215" s="2" t="s">
        <v>28</v>
      </c>
      <c r="L215" s="1">
        <f t="shared" si="10"/>
        <v>70.666666666666671</v>
      </c>
      <c r="M215" s="2" t="str">
        <f t="shared" si="11"/>
        <v>Pass</v>
      </c>
      <c r="N215" s="2" t="str">
        <f t="shared" si="9"/>
        <v>Stable</v>
      </c>
    </row>
    <row r="216" spans="1:14" x14ac:dyDescent="0.3">
      <c r="A216" s="2" t="s">
        <v>371</v>
      </c>
      <c r="B216" s="2" t="s">
        <v>283</v>
      </c>
      <c r="C216" s="2" t="s">
        <v>16</v>
      </c>
      <c r="D216" s="2">
        <v>22</v>
      </c>
      <c r="E216" s="2" t="s">
        <v>37</v>
      </c>
      <c r="F216" s="2">
        <v>4</v>
      </c>
      <c r="G216" s="2">
        <v>81</v>
      </c>
      <c r="H216" s="2">
        <v>95</v>
      </c>
      <c r="I216" s="2">
        <v>42</v>
      </c>
      <c r="J216" s="2">
        <v>67.27</v>
      </c>
      <c r="K216" s="2" t="s">
        <v>28</v>
      </c>
      <c r="L216" s="1">
        <f t="shared" si="10"/>
        <v>72.666666666666671</v>
      </c>
      <c r="M216" s="2" t="str">
        <f t="shared" si="11"/>
        <v>Pass</v>
      </c>
      <c r="N216" s="2" t="str">
        <f t="shared" si="9"/>
        <v>Stable</v>
      </c>
    </row>
    <row r="217" spans="1:14" x14ac:dyDescent="0.3">
      <c r="A217" s="2" t="s">
        <v>372</v>
      </c>
      <c r="B217" s="2" t="s">
        <v>373</v>
      </c>
      <c r="C217" s="2" t="s">
        <v>16</v>
      </c>
      <c r="D217" s="2">
        <v>19</v>
      </c>
      <c r="E217" s="2" t="s">
        <v>34</v>
      </c>
      <c r="F217" s="2">
        <v>3</v>
      </c>
      <c r="G217" s="2">
        <v>87</v>
      </c>
      <c r="H217" s="2">
        <v>69</v>
      </c>
      <c r="I217" s="2">
        <v>96</v>
      </c>
      <c r="J217" s="2">
        <v>74.33</v>
      </c>
      <c r="K217" s="2" t="s">
        <v>18</v>
      </c>
      <c r="L217" s="1">
        <f t="shared" si="10"/>
        <v>84</v>
      </c>
      <c r="M217" s="2" t="str">
        <f t="shared" si="11"/>
        <v>Pass</v>
      </c>
      <c r="N217" s="2" t="str">
        <f t="shared" si="9"/>
        <v>Stable</v>
      </c>
    </row>
    <row r="218" spans="1:14" x14ac:dyDescent="0.3">
      <c r="A218" s="2" t="s">
        <v>374</v>
      </c>
      <c r="B218" s="2" t="s">
        <v>245</v>
      </c>
      <c r="C218" s="2" t="s">
        <v>16</v>
      </c>
      <c r="D218" s="2">
        <v>20</v>
      </c>
      <c r="E218" s="2" t="s">
        <v>37</v>
      </c>
      <c r="F218" s="2">
        <v>1</v>
      </c>
      <c r="G218" s="2">
        <v>79</v>
      </c>
      <c r="H218" s="2">
        <v>97</v>
      </c>
      <c r="I218" s="2">
        <v>87</v>
      </c>
      <c r="J218" s="2">
        <v>66.86</v>
      </c>
      <c r="K218" s="2" t="s">
        <v>18</v>
      </c>
      <c r="L218" s="1">
        <f t="shared" si="10"/>
        <v>87.666666666666671</v>
      </c>
      <c r="M218" s="2" t="str">
        <f t="shared" si="11"/>
        <v>Pass</v>
      </c>
      <c r="N218" s="2" t="str">
        <f t="shared" si="9"/>
        <v>Stable</v>
      </c>
    </row>
    <row r="219" spans="1:14" x14ac:dyDescent="0.3">
      <c r="A219" s="2" t="s">
        <v>375</v>
      </c>
      <c r="B219" s="2" t="s">
        <v>376</v>
      </c>
      <c r="C219" s="2" t="s">
        <v>21</v>
      </c>
      <c r="D219" s="2">
        <v>23</v>
      </c>
      <c r="E219" s="2" t="s">
        <v>27</v>
      </c>
      <c r="F219" s="2">
        <v>3</v>
      </c>
      <c r="G219" s="2">
        <v>41</v>
      </c>
      <c r="H219" s="2">
        <v>82</v>
      </c>
      <c r="I219" s="2">
        <v>47</v>
      </c>
      <c r="J219" s="2">
        <v>86.86</v>
      </c>
      <c r="K219" s="2" t="s">
        <v>31</v>
      </c>
      <c r="L219" s="1">
        <f t="shared" si="10"/>
        <v>56.666666666666664</v>
      </c>
      <c r="M219" s="2" t="str">
        <f t="shared" si="11"/>
        <v>Pass</v>
      </c>
      <c r="N219" s="2" t="str">
        <f t="shared" si="9"/>
        <v>Monitor</v>
      </c>
    </row>
    <row r="220" spans="1:14" x14ac:dyDescent="0.3">
      <c r="A220" s="2" t="s">
        <v>377</v>
      </c>
      <c r="B220" s="2" t="s">
        <v>378</v>
      </c>
      <c r="C220" s="2" t="s">
        <v>21</v>
      </c>
      <c r="D220" s="2">
        <v>20</v>
      </c>
      <c r="E220" s="2" t="s">
        <v>50</v>
      </c>
      <c r="F220" s="2">
        <v>4</v>
      </c>
      <c r="G220" s="2">
        <v>55</v>
      </c>
      <c r="H220" s="2">
        <v>64</v>
      </c>
      <c r="I220" s="2">
        <v>61</v>
      </c>
      <c r="J220" s="2">
        <v>69.319999999999993</v>
      </c>
      <c r="K220" s="2" t="s">
        <v>22</v>
      </c>
      <c r="L220" s="1">
        <f t="shared" si="10"/>
        <v>60</v>
      </c>
      <c r="M220" s="2" t="str">
        <f t="shared" si="11"/>
        <v>Pass</v>
      </c>
      <c r="N220" s="2" t="str">
        <f t="shared" si="9"/>
        <v>Stable</v>
      </c>
    </row>
    <row r="221" spans="1:14" x14ac:dyDescent="0.3">
      <c r="A221" s="2" t="s">
        <v>379</v>
      </c>
      <c r="B221" s="2" t="s">
        <v>335</v>
      </c>
      <c r="C221" s="2" t="s">
        <v>16</v>
      </c>
      <c r="D221" s="2">
        <v>18</v>
      </c>
      <c r="E221" s="2" t="s">
        <v>50</v>
      </c>
      <c r="F221" s="2">
        <v>6</v>
      </c>
      <c r="G221" s="2">
        <v>83</v>
      </c>
      <c r="H221" s="2">
        <v>87</v>
      </c>
      <c r="I221" s="2">
        <v>93</v>
      </c>
      <c r="J221" s="2">
        <v>82.7</v>
      </c>
      <c r="K221" s="2" t="s">
        <v>18</v>
      </c>
      <c r="L221" s="1">
        <f t="shared" si="10"/>
        <v>87.666666666666671</v>
      </c>
      <c r="M221" s="2" t="str">
        <f t="shared" si="11"/>
        <v>Pass</v>
      </c>
      <c r="N221" s="2" t="str">
        <f t="shared" si="9"/>
        <v>Stable</v>
      </c>
    </row>
    <row r="222" spans="1:14" x14ac:dyDescent="0.3">
      <c r="A222" s="2" t="s">
        <v>380</v>
      </c>
      <c r="B222" s="2" t="s">
        <v>68</v>
      </c>
      <c r="C222" s="2" t="s">
        <v>16</v>
      </c>
      <c r="D222" s="2">
        <v>18</v>
      </c>
      <c r="E222" s="2" t="s">
        <v>50</v>
      </c>
      <c r="F222" s="2">
        <v>5</v>
      </c>
      <c r="G222" s="2">
        <v>56</v>
      </c>
      <c r="H222" s="2">
        <v>94</v>
      </c>
      <c r="I222" s="2">
        <v>87</v>
      </c>
      <c r="J222" s="2">
        <v>77.010000000000005</v>
      </c>
      <c r="K222" s="2" t="s">
        <v>28</v>
      </c>
      <c r="L222" s="1">
        <f t="shared" si="10"/>
        <v>79</v>
      </c>
      <c r="M222" s="2" t="str">
        <f t="shared" si="11"/>
        <v>Pass</v>
      </c>
      <c r="N222" s="2" t="str">
        <f t="shared" si="9"/>
        <v>Stable</v>
      </c>
    </row>
    <row r="223" spans="1:14" x14ac:dyDescent="0.3">
      <c r="A223" s="2" t="s">
        <v>381</v>
      </c>
      <c r="B223" s="2" t="s">
        <v>382</v>
      </c>
      <c r="C223" s="2" t="s">
        <v>21</v>
      </c>
      <c r="D223" s="2">
        <v>21</v>
      </c>
      <c r="E223" s="2" t="s">
        <v>37</v>
      </c>
      <c r="F223" s="2">
        <v>5</v>
      </c>
      <c r="G223" s="2">
        <v>37</v>
      </c>
      <c r="H223" s="2">
        <v>64</v>
      </c>
      <c r="I223" s="2">
        <v>69</v>
      </c>
      <c r="J223" s="2">
        <v>62.97</v>
      </c>
      <c r="K223" s="2" t="s">
        <v>31</v>
      </c>
      <c r="L223" s="1">
        <f t="shared" si="10"/>
        <v>56.666666666666664</v>
      </c>
      <c r="M223" s="2" t="str">
        <f t="shared" si="11"/>
        <v>Fail</v>
      </c>
      <c r="N223" s="2" t="str">
        <f t="shared" si="9"/>
        <v>High Risk</v>
      </c>
    </row>
    <row r="224" spans="1:14" x14ac:dyDescent="0.3">
      <c r="A224" s="2" t="s">
        <v>383</v>
      </c>
      <c r="B224" s="2" t="s">
        <v>384</v>
      </c>
      <c r="C224" s="2" t="s">
        <v>21</v>
      </c>
      <c r="D224" s="2">
        <v>23</v>
      </c>
      <c r="E224" s="2" t="s">
        <v>17</v>
      </c>
      <c r="F224" s="2">
        <v>3</v>
      </c>
      <c r="G224" s="2">
        <v>90</v>
      </c>
      <c r="H224" s="2">
        <v>87</v>
      </c>
      <c r="I224" s="2">
        <v>61</v>
      </c>
      <c r="J224" s="2">
        <v>70.260000000000005</v>
      </c>
      <c r="K224" s="2" t="s">
        <v>28</v>
      </c>
      <c r="L224" s="1">
        <f t="shared" si="10"/>
        <v>79.333333333333329</v>
      </c>
      <c r="M224" s="2" t="str">
        <f t="shared" si="11"/>
        <v>Pass</v>
      </c>
      <c r="N224" s="2" t="str">
        <f t="shared" si="9"/>
        <v>Stable</v>
      </c>
    </row>
    <row r="225" spans="1:14" x14ac:dyDescent="0.3">
      <c r="A225" s="2" t="s">
        <v>385</v>
      </c>
      <c r="B225" s="2" t="s">
        <v>59</v>
      </c>
      <c r="C225" s="2" t="s">
        <v>21</v>
      </c>
      <c r="D225" s="2">
        <v>23</v>
      </c>
      <c r="E225" s="2" t="s">
        <v>17</v>
      </c>
      <c r="F225" s="2">
        <v>4</v>
      </c>
      <c r="G225" s="2">
        <v>52</v>
      </c>
      <c r="H225" s="2">
        <v>39</v>
      </c>
      <c r="I225" s="2">
        <v>42</v>
      </c>
      <c r="J225" s="2">
        <v>98.88</v>
      </c>
      <c r="K225" s="2" t="s">
        <v>55</v>
      </c>
      <c r="L225" s="1">
        <f t="shared" si="10"/>
        <v>44.333333333333336</v>
      </c>
      <c r="M225" s="2" t="str">
        <f t="shared" si="11"/>
        <v>Fail</v>
      </c>
      <c r="N225" s="2" t="str">
        <f t="shared" si="9"/>
        <v>High Risk</v>
      </c>
    </row>
    <row r="226" spans="1:14" x14ac:dyDescent="0.3">
      <c r="A226" s="2" t="s">
        <v>386</v>
      </c>
      <c r="B226" s="2" t="s">
        <v>103</v>
      </c>
      <c r="C226" s="2" t="s">
        <v>16</v>
      </c>
      <c r="D226" s="2">
        <v>18</v>
      </c>
      <c r="E226" s="2" t="s">
        <v>17</v>
      </c>
      <c r="F226" s="2">
        <v>4</v>
      </c>
      <c r="G226" s="2">
        <v>89</v>
      </c>
      <c r="H226" s="2">
        <v>71</v>
      </c>
      <c r="I226" s="2">
        <v>51</v>
      </c>
      <c r="J226" s="2">
        <v>65.55</v>
      </c>
      <c r="K226" s="2" t="s">
        <v>28</v>
      </c>
      <c r="L226" s="1">
        <f t="shared" si="10"/>
        <v>70.333333333333329</v>
      </c>
      <c r="M226" s="2" t="str">
        <f t="shared" si="11"/>
        <v>Pass</v>
      </c>
      <c r="N226" s="2" t="str">
        <f t="shared" si="9"/>
        <v>Stable</v>
      </c>
    </row>
    <row r="227" spans="1:14" x14ac:dyDescent="0.3">
      <c r="A227" s="2" t="s">
        <v>387</v>
      </c>
      <c r="B227" s="2" t="s">
        <v>84</v>
      </c>
      <c r="C227" s="2" t="s">
        <v>16</v>
      </c>
      <c r="D227" s="2">
        <v>20</v>
      </c>
      <c r="E227" s="2" t="s">
        <v>50</v>
      </c>
      <c r="F227" s="2">
        <v>1</v>
      </c>
      <c r="G227" s="2">
        <v>65</v>
      </c>
      <c r="H227" s="2">
        <v>93</v>
      </c>
      <c r="I227" s="2">
        <v>35</v>
      </c>
      <c r="J227" s="2">
        <v>90.56</v>
      </c>
      <c r="K227" s="2" t="s">
        <v>22</v>
      </c>
      <c r="L227" s="1">
        <f t="shared" si="10"/>
        <v>64.333333333333329</v>
      </c>
      <c r="M227" s="2" t="str">
        <f t="shared" si="11"/>
        <v>Fail</v>
      </c>
      <c r="N227" s="2" t="str">
        <f t="shared" si="9"/>
        <v>High Risk</v>
      </c>
    </row>
    <row r="228" spans="1:14" x14ac:dyDescent="0.3">
      <c r="A228" s="2" t="s">
        <v>388</v>
      </c>
      <c r="B228" s="2" t="s">
        <v>289</v>
      </c>
      <c r="C228" s="2" t="s">
        <v>16</v>
      </c>
      <c r="D228" s="2">
        <v>21</v>
      </c>
      <c r="E228" s="2" t="s">
        <v>50</v>
      </c>
      <c r="F228" s="2">
        <v>6</v>
      </c>
      <c r="G228" s="2">
        <v>36</v>
      </c>
      <c r="H228" s="2">
        <v>63</v>
      </c>
      <c r="I228" s="2">
        <v>88</v>
      </c>
      <c r="J228" s="2">
        <v>94.11</v>
      </c>
      <c r="K228" s="2" t="s">
        <v>22</v>
      </c>
      <c r="L228" s="1">
        <f t="shared" si="10"/>
        <v>62.333333333333336</v>
      </c>
      <c r="M228" s="2" t="str">
        <f t="shared" si="11"/>
        <v>Fail</v>
      </c>
      <c r="N228" s="2" t="str">
        <f t="shared" si="9"/>
        <v>High Risk</v>
      </c>
    </row>
    <row r="229" spans="1:14" x14ac:dyDescent="0.3">
      <c r="A229" s="2" t="s">
        <v>389</v>
      </c>
      <c r="B229" s="2" t="s">
        <v>390</v>
      </c>
      <c r="C229" s="2" t="s">
        <v>16</v>
      </c>
      <c r="D229" s="2">
        <v>23</v>
      </c>
      <c r="E229" s="2" t="s">
        <v>17</v>
      </c>
      <c r="F229" s="2">
        <v>4</v>
      </c>
      <c r="G229" s="2">
        <v>46</v>
      </c>
      <c r="H229" s="2">
        <v>96</v>
      </c>
      <c r="I229" s="2">
        <v>59</v>
      </c>
      <c r="J229" s="2">
        <v>89.19</v>
      </c>
      <c r="K229" s="2" t="s">
        <v>22</v>
      </c>
      <c r="L229" s="1">
        <f t="shared" si="10"/>
        <v>67</v>
      </c>
      <c r="M229" s="2" t="str">
        <f t="shared" si="11"/>
        <v>Pass</v>
      </c>
      <c r="N229" s="2" t="str">
        <f t="shared" si="9"/>
        <v>Stable</v>
      </c>
    </row>
    <row r="230" spans="1:14" x14ac:dyDescent="0.3">
      <c r="A230" s="2" t="s">
        <v>391</v>
      </c>
      <c r="B230" s="2" t="s">
        <v>181</v>
      </c>
      <c r="C230" s="2" t="s">
        <v>21</v>
      </c>
      <c r="D230" s="2">
        <v>22</v>
      </c>
      <c r="E230" s="2" t="s">
        <v>34</v>
      </c>
      <c r="F230" s="2">
        <v>2</v>
      </c>
      <c r="G230" s="2">
        <v>97</v>
      </c>
      <c r="H230" s="2">
        <v>58</v>
      </c>
      <c r="I230" s="2">
        <v>82</v>
      </c>
      <c r="J230" s="2">
        <v>75.14</v>
      </c>
      <c r="K230" s="2" t="s">
        <v>28</v>
      </c>
      <c r="L230" s="1">
        <f t="shared" si="10"/>
        <v>79</v>
      </c>
      <c r="M230" s="2" t="str">
        <f t="shared" si="11"/>
        <v>Pass</v>
      </c>
      <c r="N230" s="2" t="str">
        <f t="shared" si="9"/>
        <v>Stable</v>
      </c>
    </row>
    <row r="231" spans="1:14" x14ac:dyDescent="0.3">
      <c r="A231" s="2" t="s">
        <v>392</v>
      </c>
      <c r="B231" s="2" t="s">
        <v>283</v>
      </c>
      <c r="C231" s="2" t="s">
        <v>21</v>
      </c>
      <c r="D231" s="2">
        <v>20</v>
      </c>
      <c r="E231" s="2" t="s">
        <v>37</v>
      </c>
      <c r="F231" s="2">
        <v>3</v>
      </c>
      <c r="G231" s="2">
        <v>66</v>
      </c>
      <c r="H231" s="2">
        <v>97</v>
      </c>
      <c r="I231" s="2">
        <v>50</v>
      </c>
      <c r="J231" s="2">
        <v>87</v>
      </c>
      <c r="K231" s="2" t="s">
        <v>28</v>
      </c>
      <c r="L231" s="1">
        <f t="shared" si="10"/>
        <v>71</v>
      </c>
      <c r="M231" s="2" t="str">
        <f t="shared" si="11"/>
        <v>Pass</v>
      </c>
      <c r="N231" s="2" t="str">
        <f t="shared" si="9"/>
        <v>Stable</v>
      </c>
    </row>
    <row r="232" spans="1:14" x14ac:dyDescent="0.3">
      <c r="A232" s="2" t="s">
        <v>393</v>
      </c>
      <c r="B232" s="2" t="s">
        <v>87</v>
      </c>
      <c r="C232" s="2" t="s">
        <v>21</v>
      </c>
      <c r="D232" s="2">
        <v>19</v>
      </c>
      <c r="E232" s="2" t="s">
        <v>27</v>
      </c>
      <c r="F232" s="2">
        <v>5</v>
      </c>
      <c r="G232" s="2">
        <v>85</v>
      </c>
      <c r="H232" s="2">
        <v>39</v>
      </c>
      <c r="I232" s="2">
        <v>72</v>
      </c>
      <c r="J232" s="2">
        <v>79.39</v>
      </c>
      <c r="K232" s="2" t="s">
        <v>22</v>
      </c>
      <c r="L232" s="1">
        <f t="shared" si="10"/>
        <v>65.333333333333329</v>
      </c>
      <c r="M232" s="2" t="str">
        <f t="shared" si="11"/>
        <v>Fail</v>
      </c>
      <c r="N232" s="2" t="str">
        <f t="shared" si="9"/>
        <v>High Risk</v>
      </c>
    </row>
    <row r="233" spans="1:14" x14ac:dyDescent="0.3">
      <c r="A233" s="2" t="s">
        <v>394</v>
      </c>
      <c r="B233" s="2" t="s">
        <v>395</v>
      </c>
      <c r="C233" s="2" t="s">
        <v>21</v>
      </c>
      <c r="D233" s="2">
        <v>23</v>
      </c>
      <c r="E233" s="2" t="s">
        <v>17</v>
      </c>
      <c r="F233" s="2">
        <v>6</v>
      </c>
      <c r="G233" s="2">
        <v>40</v>
      </c>
      <c r="H233" s="2">
        <v>54</v>
      </c>
      <c r="I233" s="2">
        <v>90</v>
      </c>
      <c r="J233" s="2">
        <v>97.13</v>
      </c>
      <c r="K233" s="2" t="s">
        <v>22</v>
      </c>
      <c r="L233" s="1">
        <f t="shared" si="10"/>
        <v>61.333333333333336</v>
      </c>
      <c r="M233" s="2" t="str">
        <f t="shared" si="11"/>
        <v>Pass</v>
      </c>
      <c r="N233" s="2" t="str">
        <f t="shared" si="9"/>
        <v>Stable</v>
      </c>
    </row>
    <row r="234" spans="1:14" x14ac:dyDescent="0.3">
      <c r="A234" s="2" t="s">
        <v>396</v>
      </c>
      <c r="B234" s="2" t="s">
        <v>100</v>
      </c>
      <c r="C234" s="2" t="s">
        <v>16</v>
      </c>
      <c r="D234" s="2">
        <v>21</v>
      </c>
      <c r="E234" s="2" t="s">
        <v>34</v>
      </c>
      <c r="F234" s="2">
        <v>5</v>
      </c>
      <c r="G234" s="2">
        <v>41</v>
      </c>
      <c r="H234" s="2">
        <v>48</v>
      </c>
      <c r="I234" s="2">
        <v>76</v>
      </c>
      <c r="J234" s="2">
        <v>68.03</v>
      </c>
      <c r="K234" s="2" t="s">
        <v>31</v>
      </c>
      <c r="L234" s="1">
        <f t="shared" si="10"/>
        <v>55</v>
      </c>
      <c r="M234" s="2" t="str">
        <f t="shared" si="11"/>
        <v>Pass</v>
      </c>
      <c r="N234" s="2" t="str">
        <f t="shared" si="9"/>
        <v>Monitor</v>
      </c>
    </row>
    <row r="235" spans="1:14" x14ac:dyDescent="0.3">
      <c r="A235" s="2" t="s">
        <v>397</v>
      </c>
      <c r="B235" s="2" t="s">
        <v>398</v>
      </c>
      <c r="C235" s="2" t="s">
        <v>21</v>
      </c>
      <c r="D235" s="2">
        <v>22</v>
      </c>
      <c r="E235" s="2" t="s">
        <v>37</v>
      </c>
      <c r="F235" s="2">
        <v>6</v>
      </c>
      <c r="G235" s="2">
        <v>42</v>
      </c>
      <c r="H235" s="2">
        <v>93</v>
      </c>
      <c r="I235" s="2">
        <v>86</v>
      </c>
      <c r="J235" s="2">
        <v>91.54</v>
      </c>
      <c r="K235" s="2" t="s">
        <v>28</v>
      </c>
      <c r="L235" s="1">
        <f t="shared" si="10"/>
        <v>73.666666666666671</v>
      </c>
      <c r="M235" s="2" t="str">
        <f t="shared" si="11"/>
        <v>Pass</v>
      </c>
      <c r="N235" s="2" t="str">
        <f t="shared" si="9"/>
        <v>Stable</v>
      </c>
    </row>
    <row r="236" spans="1:14" x14ac:dyDescent="0.3">
      <c r="A236" s="2" t="s">
        <v>399</v>
      </c>
      <c r="B236" s="2" t="s">
        <v>400</v>
      </c>
      <c r="C236" s="2" t="s">
        <v>16</v>
      </c>
      <c r="D236" s="2">
        <v>18</v>
      </c>
      <c r="E236" s="2" t="s">
        <v>50</v>
      </c>
      <c r="F236" s="2">
        <v>5</v>
      </c>
      <c r="G236" s="2">
        <v>75</v>
      </c>
      <c r="H236" s="2">
        <v>72</v>
      </c>
      <c r="I236" s="2">
        <v>78</v>
      </c>
      <c r="J236" s="2">
        <v>89.13</v>
      </c>
      <c r="K236" s="2" t="s">
        <v>28</v>
      </c>
      <c r="L236" s="1">
        <f t="shared" si="10"/>
        <v>75</v>
      </c>
      <c r="M236" s="2" t="str">
        <f t="shared" si="11"/>
        <v>Pass</v>
      </c>
      <c r="N236" s="2" t="str">
        <f t="shared" si="9"/>
        <v>Stable</v>
      </c>
    </row>
    <row r="237" spans="1:14" x14ac:dyDescent="0.3">
      <c r="A237" s="2" t="s">
        <v>401</v>
      </c>
      <c r="B237" s="2" t="s">
        <v>272</v>
      </c>
      <c r="C237" s="2" t="s">
        <v>21</v>
      </c>
      <c r="D237" s="2">
        <v>23</v>
      </c>
      <c r="E237" s="2" t="s">
        <v>27</v>
      </c>
      <c r="F237" s="2">
        <v>6</v>
      </c>
      <c r="G237" s="2">
        <v>83</v>
      </c>
      <c r="H237" s="2">
        <v>58</v>
      </c>
      <c r="I237" s="2">
        <v>53</v>
      </c>
      <c r="J237" s="2">
        <v>63.57</v>
      </c>
      <c r="K237" s="2" t="s">
        <v>22</v>
      </c>
      <c r="L237" s="1">
        <f t="shared" si="10"/>
        <v>64.666666666666671</v>
      </c>
      <c r="M237" s="2" t="str">
        <f t="shared" si="11"/>
        <v>Pass</v>
      </c>
      <c r="N237" s="2" t="str">
        <f t="shared" si="9"/>
        <v>Stable</v>
      </c>
    </row>
    <row r="238" spans="1:14" x14ac:dyDescent="0.3">
      <c r="A238" s="2" t="s">
        <v>402</v>
      </c>
      <c r="B238" s="2" t="s">
        <v>403</v>
      </c>
      <c r="C238" s="2" t="s">
        <v>21</v>
      </c>
      <c r="D238" s="2">
        <v>20</v>
      </c>
      <c r="E238" s="2" t="s">
        <v>27</v>
      </c>
      <c r="F238" s="2">
        <v>4</v>
      </c>
      <c r="G238" s="2">
        <v>75</v>
      </c>
      <c r="H238" s="2">
        <v>98</v>
      </c>
      <c r="I238" s="2">
        <v>55</v>
      </c>
      <c r="J238" s="2">
        <v>93.73</v>
      </c>
      <c r="K238" s="2" t="s">
        <v>28</v>
      </c>
      <c r="L238" s="1">
        <f t="shared" si="10"/>
        <v>76</v>
      </c>
      <c r="M238" s="2" t="str">
        <f t="shared" si="11"/>
        <v>Pass</v>
      </c>
      <c r="N238" s="2" t="str">
        <f t="shared" si="9"/>
        <v>Stable</v>
      </c>
    </row>
    <row r="239" spans="1:14" x14ac:dyDescent="0.3">
      <c r="A239" s="2" t="s">
        <v>404</v>
      </c>
      <c r="B239" s="2" t="s">
        <v>378</v>
      </c>
      <c r="C239" s="2" t="s">
        <v>21</v>
      </c>
      <c r="D239" s="2">
        <v>21</v>
      </c>
      <c r="E239" s="2" t="s">
        <v>50</v>
      </c>
      <c r="F239" s="2">
        <v>5</v>
      </c>
      <c r="G239" s="2">
        <v>67</v>
      </c>
      <c r="H239" s="2">
        <v>85</v>
      </c>
      <c r="I239" s="2">
        <v>93</v>
      </c>
      <c r="J239" s="2">
        <v>73.959999999999994</v>
      </c>
      <c r="K239" s="2" t="s">
        <v>18</v>
      </c>
      <c r="L239" s="1">
        <f t="shared" si="10"/>
        <v>81.666666666666671</v>
      </c>
      <c r="M239" s="2" t="str">
        <f t="shared" si="11"/>
        <v>Pass</v>
      </c>
      <c r="N239" s="2" t="str">
        <f t="shared" si="9"/>
        <v>Stable</v>
      </c>
    </row>
    <row r="240" spans="1:14" x14ac:dyDescent="0.3">
      <c r="A240" s="2" t="s">
        <v>405</v>
      </c>
      <c r="B240" s="2" t="s">
        <v>179</v>
      </c>
      <c r="C240" s="2" t="s">
        <v>21</v>
      </c>
      <c r="D240" s="2">
        <v>21</v>
      </c>
      <c r="E240" s="2" t="s">
        <v>17</v>
      </c>
      <c r="F240" s="2">
        <v>3</v>
      </c>
      <c r="G240" s="2">
        <v>72</v>
      </c>
      <c r="H240" s="2">
        <v>80</v>
      </c>
      <c r="I240" s="2">
        <v>54</v>
      </c>
      <c r="J240" s="2">
        <v>93.38</v>
      </c>
      <c r="K240" s="2" t="s">
        <v>22</v>
      </c>
      <c r="L240" s="1">
        <f t="shared" si="10"/>
        <v>68.666666666666671</v>
      </c>
      <c r="M240" s="2" t="str">
        <f t="shared" si="11"/>
        <v>Pass</v>
      </c>
      <c r="N240" s="2" t="str">
        <f t="shared" si="9"/>
        <v>Stable</v>
      </c>
    </row>
    <row r="241" spans="1:14" x14ac:dyDescent="0.3">
      <c r="A241" s="2" t="s">
        <v>406</v>
      </c>
      <c r="B241" s="2" t="s">
        <v>24</v>
      </c>
      <c r="C241" s="2" t="s">
        <v>21</v>
      </c>
      <c r="D241" s="2">
        <v>19</v>
      </c>
      <c r="E241" s="2" t="s">
        <v>27</v>
      </c>
      <c r="F241" s="2">
        <v>1</v>
      </c>
      <c r="G241" s="2">
        <v>68</v>
      </c>
      <c r="H241" s="2">
        <v>57</v>
      </c>
      <c r="I241" s="2">
        <v>77</v>
      </c>
      <c r="J241" s="2">
        <v>93.06</v>
      </c>
      <c r="K241" s="2" t="s">
        <v>22</v>
      </c>
      <c r="L241" s="1">
        <f t="shared" si="10"/>
        <v>67.333333333333329</v>
      </c>
      <c r="M241" s="2" t="str">
        <f t="shared" si="11"/>
        <v>Pass</v>
      </c>
      <c r="N241" s="2" t="str">
        <f t="shared" si="9"/>
        <v>Stable</v>
      </c>
    </row>
    <row r="242" spans="1:14" x14ac:dyDescent="0.3">
      <c r="A242" s="2" t="s">
        <v>407</v>
      </c>
      <c r="B242" s="2" t="s">
        <v>54</v>
      </c>
      <c r="C242" s="2" t="s">
        <v>21</v>
      </c>
      <c r="D242" s="2">
        <v>22</v>
      </c>
      <c r="E242" s="2" t="s">
        <v>37</v>
      </c>
      <c r="F242" s="2">
        <v>6</v>
      </c>
      <c r="G242" s="2">
        <v>100</v>
      </c>
      <c r="H242" s="2">
        <v>85</v>
      </c>
      <c r="I242" s="2">
        <v>39</v>
      </c>
      <c r="J242" s="2">
        <v>98.98</v>
      </c>
      <c r="K242" s="2" t="s">
        <v>28</v>
      </c>
      <c r="L242" s="1">
        <f t="shared" si="10"/>
        <v>74.666666666666671</v>
      </c>
      <c r="M242" s="2" t="str">
        <f t="shared" si="11"/>
        <v>Fail</v>
      </c>
      <c r="N242" s="2" t="str">
        <f t="shared" si="9"/>
        <v>High Risk</v>
      </c>
    </row>
    <row r="243" spans="1:14" x14ac:dyDescent="0.3">
      <c r="A243" s="2" t="s">
        <v>408</v>
      </c>
      <c r="B243" s="2" t="s">
        <v>409</v>
      </c>
      <c r="C243" s="2" t="s">
        <v>16</v>
      </c>
      <c r="D243" s="2">
        <v>23</v>
      </c>
      <c r="E243" s="2" t="s">
        <v>50</v>
      </c>
      <c r="F243" s="2">
        <v>3</v>
      </c>
      <c r="G243" s="2">
        <v>38</v>
      </c>
      <c r="H243" s="2">
        <v>83</v>
      </c>
      <c r="I243" s="2">
        <v>84</v>
      </c>
      <c r="J243" s="2">
        <v>76.36</v>
      </c>
      <c r="K243" s="2" t="s">
        <v>22</v>
      </c>
      <c r="L243" s="1">
        <f t="shared" si="10"/>
        <v>68.333333333333329</v>
      </c>
      <c r="M243" s="2" t="str">
        <f t="shared" si="11"/>
        <v>Fail</v>
      </c>
      <c r="N243" s="2" t="str">
        <f t="shared" si="9"/>
        <v>High Risk</v>
      </c>
    </row>
    <row r="244" spans="1:14" x14ac:dyDescent="0.3">
      <c r="A244" s="2" t="s">
        <v>410</v>
      </c>
      <c r="B244" s="2" t="s">
        <v>411</v>
      </c>
      <c r="C244" s="2" t="s">
        <v>16</v>
      </c>
      <c r="D244" s="2">
        <v>20</v>
      </c>
      <c r="E244" s="2" t="s">
        <v>17</v>
      </c>
      <c r="F244" s="2">
        <v>3</v>
      </c>
      <c r="G244" s="2">
        <v>50</v>
      </c>
      <c r="H244" s="2">
        <v>64</v>
      </c>
      <c r="I244" s="2">
        <v>68</v>
      </c>
      <c r="J244" s="2">
        <v>98.03</v>
      </c>
      <c r="K244" s="2" t="s">
        <v>22</v>
      </c>
      <c r="L244" s="1">
        <f t="shared" si="10"/>
        <v>60.666666666666664</v>
      </c>
      <c r="M244" s="2" t="str">
        <f t="shared" si="11"/>
        <v>Pass</v>
      </c>
      <c r="N244" s="2" t="str">
        <f t="shared" si="9"/>
        <v>Stable</v>
      </c>
    </row>
    <row r="245" spans="1:14" x14ac:dyDescent="0.3">
      <c r="A245" s="2" t="s">
        <v>412</v>
      </c>
      <c r="B245" s="2" t="s">
        <v>258</v>
      </c>
      <c r="C245" s="2" t="s">
        <v>16</v>
      </c>
      <c r="D245" s="2">
        <v>23</v>
      </c>
      <c r="E245" s="2" t="s">
        <v>27</v>
      </c>
      <c r="F245" s="2">
        <v>2</v>
      </c>
      <c r="G245" s="2">
        <v>75</v>
      </c>
      <c r="H245" s="2">
        <v>56</v>
      </c>
      <c r="I245" s="2">
        <v>83</v>
      </c>
      <c r="J245" s="2">
        <v>76.849999999999994</v>
      </c>
      <c r="K245" s="2" t="s">
        <v>28</v>
      </c>
      <c r="L245" s="1">
        <f t="shared" si="10"/>
        <v>71.333333333333329</v>
      </c>
      <c r="M245" s="2" t="str">
        <f t="shared" si="11"/>
        <v>Pass</v>
      </c>
      <c r="N245" s="2" t="str">
        <f t="shared" si="9"/>
        <v>Stable</v>
      </c>
    </row>
    <row r="246" spans="1:14" x14ac:dyDescent="0.3">
      <c r="A246" s="2" t="s">
        <v>413</v>
      </c>
      <c r="B246" s="2" t="s">
        <v>121</v>
      </c>
      <c r="C246" s="2" t="s">
        <v>16</v>
      </c>
      <c r="D246" s="2">
        <v>19</v>
      </c>
      <c r="E246" s="2" t="s">
        <v>17</v>
      </c>
      <c r="F246" s="2">
        <v>2</v>
      </c>
      <c r="G246" s="2">
        <v>66</v>
      </c>
      <c r="H246" s="2">
        <v>38</v>
      </c>
      <c r="I246" s="2">
        <v>57</v>
      </c>
      <c r="J246" s="2">
        <v>74.709999999999994</v>
      </c>
      <c r="K246" s="2" t="s">
        <v>31</v>
      </c>
      <c r="L246" s="1">
        <f t="shared" si="10"/>
        <v>53.666666666666664</v>
      </c>
      <c r="M246" s="2" t="str">
        <f t="shared" si="11"/>
        <v>Fail</v>
      </c>
      <c r="N246" s="2" t="str">
        <f t="shared" si="9"/>
        <v>High Risk</v>
      </c>
    </row>
    <row r="247" spans="1:14" x14ac:dyDescent="0.3">
      <c r="A247" s="2" t="s">
        <v>414</v>
      </c>
      <c r="B247" s="2" t="s">
        <v>263</v>
      </c>
      <c r="C247" s="2" t="s">
        <v>16</v>
      </c>
      <c r="D247" s="2">
        <v>23</v>
      </c>
      <c r="E247" s="2" t="s">
        <v>50</v>
      </c>
      <c r="F247" s="2">
        <v>6</v>
      </c>
      <c r="G247" s="2">
        <v>65</v>
      </c>
      <c r="H247" s="2">
        <v>42</v>
      </c>
      <c r="I247" s="2">
        <v>89</v>
      </c>
      <c r="J247" s="2">
        <v>94.97</v>
      </c>
      <c r="K247" s="2" t="s">
        <v>22</v>
      </c>
      <c r="L247" s="1">
        <f t="shared" si="10"/>
        <v>65.333333333333329</v>
      </c>
      <c r="M247" s="2" t="str">
        <f t="shared" si="11"/>
        <v>Pass</v>
      </c>
      <c r="N247" s="2" t="str">
        <f t="shared" si="9"/>
        <v>Stable</v>
      </c>
    </row>
    <row r="248" spans="1:14" x14ac:dyDescent="0.3">
      <c r="A248" s="2" t="s">
        <v>415</v>
      </c>
      <c r="B248" s="2" t="s">
        <v>400</v>
      </c>
      <c r="C248" s="2" t="s">
        <v>16</v>
      </c>
      <c r="D248" s="2">
        <v>20</v>
      </c>
      <c r="E248" s="2" t="s">
        <v>17</v>
      </c>
      <c r="F248" s="2">
        <v>6</v>
      </c>
      <c r="G248" s="2">
        <v>79</v>
      </c>
      <c r="H248" s="2">
        <v>95</v>
      </c>
      <c r="I248" s="2">
        <v>66</v>
      </c>
      <c r="J248" s="2">
        <v>97.71</v>
      </c>
      <c r="K248" s="2" t="s">
        <v>18</v>
      </c>
      <c r="L248" s="1">
        <f t="shared" si="10"/>
        <v>80</v>
      </c>
      <c r="M248" s="2" t="str">
        <f t="shared" si="11"/>
        <v>Pass</v>
      </c>
      <c r="N248" s="2" t="str">
        <f t="shared" si="9"/>
        <v>Stable</v>
      </c>
    </row>
    <row r="249" spans="1:14" x14ac:dyDescent="0.3">
      <c r="A249" s="2" t="s">
        <v>416</v>
      </c>
      <c r="B249" s="2" t="s">
        <v>26</v>
      </c>
      <c r="C249" s="2" t="s">
        <v>21</v>
      </c>
      <c r="D249" s="2">
        <v>23</v>
      </c>
      <c r="E249" s="2" t="s">
        <v>37</v>
      </c>
      <c r="F249" s="2">
        <v>3</v>
      </c>
      <c r="G249" s="2">
        <v>61</v>
      </c>
      <c r="H249" s="2">
        <v>42</v>
      </c>
      <c r="I249" s="2">
        <v>46</v>
      </c>
      <c r="J249" s="2">
        <v>63.07</v>
      </c>
      <c r="K249" s="2" t="s">
        <v>55</v>
      </c>
      <c r="L249" s="1">
        <f t="shared" si="10"/>
        <v>49.666666666666664</v>
      </c>
      <c r="M249" s="2" t="str">
        <f t="shared" si="11"/>
        <v>Pass</v>
      </c>
      <c r="N249" s="2" t="str">
        <f t="shared" si="9"/>
        <v>Monitor</v>
      </c>
    </row>
    <row r="250" spans="1:14" x14ac:dyDescent="0.3">
      <c r="A250" s="2" t="s">
        <v>417</v>
      </c>
      <c r="B250" s="2" t="s">
        <v>418</v>
      </c>
      <c r="C250" s="2" t="s">
        <v>16</v>
      </c>
      <c r="D250" s="2">
        <v>22</v>
      </c>
      <c r="E250" s="2" t="s">
        <v>50</v>
      </c>
      <c r="F250" s="2">
        <v>6</v>
      </c>
      <c r="G250" s="2">
        <v>54</v>
      </c>
      <c r="H250" s="2">
        <v>65</v>
      </c>
      <c r="I250" s="2">
        <v>69</v>
      </c>
      <c r="J250" s="2">
        <v>77.849999999999994</v>
      </c>
      <c r="K250" s="2" t="s">
        <v>22</v>
      </c>
      <c r="L250" s="1">
        <f t="shared" si="10"/>
        <v>62.666666666666664</v>
      </c>
      <c r="M250" s="2" t="str">
        <f t="shared" si="11"/>
        <v>Pass</v>
      </c>
      <c r="N250" s="2" t="str">
        <f t="shared" si="9"/>
        <v>Stable</v>
      </c>
    </row>
    <row r="251" spans="1:14" x14ac:dyDescent="0.3">
      <c r="A251" s="2" t="s">
        <v>419</v>
      </c>
      <c r="B251" s="2" t="s">
        <v>420</v>
      </c>
      <c r="C251" s="2" t="s">
        <v>16</v>
      </c>
      <c r="D251" s="2">
        <v>18</v>
      </c>
      <c r="E251" s="2" t="s">
        <v>34</v>
      </c>
      <c r="F251" s="2">
        <v>5</v>
      </c>
      <c r="G251" s="2">
        <v>62</v>
      </c>
      <c r="H251" s="2">
        <v>85</v>
      </c>
      <c r="I251" s="2">
        <v>57</v>
      </c>
      <c r="J251" s="2">
        <v>96.14</v>
      </c>
      <c r="K251" s="2" t="s">
        <v>22</v>
      </c>
      <c r="L251" s="1">
        <f t="shared" si="10"/>
        <v>68</v>
      </c>
      <c r="M251" s="2" t="str">
        <f t="shared" si="11"/>
        <v>Pass</v>
      </c>
      <c r="N251" s="2" t="str">
        <f t="shared" si="9"/>
        <v>Stable</v>
      </c>
    </row>
    <row r="252" spans="1:14" x14ac:dyDescent="0.3">
      <c r="A252" s="2" t="s">
        <v>421</v>
      </c>
      <c r="B252" s="2" t="s">
        <v>128</v>
      </c>
      <c r="C252" s="2" t="s">
        <v>21</v>
      </c>
      <c r="D252" s="2">
        <v>19</v>
      </c>
      <c r="E252" s="2" t="s">
        <v>27</v>
      </c>
      <c r="F252" s="2">
        <v>4</v>
      </c>
      <c r="G252" s="2">
        <v>42</v>
      </c>
      <c r="H252" s="2">
        <v>50</v>
      </c>
      <c r="I252" s="2">
        <v>77</v>
      </c>
      <c r="J252" s="2">
        <v>73.510000000000005</v>
      </c>
      <c r="K252" s="2" t="s">
        <v>31</v>
      </c>
      <c r="L252" s="1">
        <f t="shared" si="10"/>
        <v>56.333333333333336</v>
      </c>
      <c r="M252" s="2" t="str">
        <f t="shared" si="11"/>
        <v>Pass</v>
      </c>
      <c r="N252" s="2" t="str">
        <f t="shared" si="9"/>
        <v>Monitor</v>
      </c>
    </row>
    <row r="253" spans="1:14" x14ac:dyDescent="0.3">
      <c r="A253" s="2" t="s">
        <v>422</v>
      </c>
      <c r="B253" s="2" t="s">
        <v>253</v>
      </c>
      <c r="C253" s="2" t="s">
        <v>21</v>
      </c>
      <c r="D253" s="2">
        <v>23</v>
      </c>
      <c r="E253" s="2" t="s">
        <v>34</v>
      </c>
      <c r="F253" s="2">
        <v>4</v>
      </c>
      <c r="G253" s="2">
        <v>85</v>
      </c>
      <c r="H253" s="2">
        <v>79</v>
      </c>
      <c r="I253" s="2">
        <v>70</v>
      </c>
      <c r="J253" s="2">
        <v>69.150000000000006</v>
      </c>
      <c r="K253" s="2" t="s">
        <v>28</v>
      </c>
      <c r="L253" s="1">
        <f t="shared" si="10"/>
        <v>78</v>
      </c>
      <c r="M253" s="2" t="str">
        <f t="shared" si="11"/>
        <v>Pass</v>
      </c>
      <c r="N253" s="2" t="str">
        <f t="shared" si="9"/>
        <v>Stable</v>
      </c>
    </row>
    <row r="254" spans="1:14" x14ac:dyDescent="0.3">
      <c r="A254" s="2" t="s">
        <v>423</v>
      </c>
      <c r="B254" s="2" t="s">
        <v>105</v>
      </c>
      <c r="C254" s="2" t="s">
        <v>21</v>
      </c>
      <c r="D254" s="2">
        <v>20</v>
      </c>
      <c r="E254" s="2" t="s">
        <v>17</v>
      </c>
      <c r="F254" s="2">
        <v>6</v>
      </c>
      <c r="G254" s="2">
        <v>68</v>
      </c>
      <c r="H254" s="2">
        <v>42</v>
      </c>
      <c r="I254" s="2">
        <v>36</v>
      </c>
      <c r="J254" s="2">
        <v>65.09</v>
      </c>
      <c r="K254" s="2" t="s">
        <v>55</v>
      </c>
      <c r="L254" s="1">
        <f t="shared" si="10"/>
        <v>48.666666666666664</v>
      </c>
      <c r="M254" s="2" t="str">
        <f t="shared" si="11"/>
        <v>Fail</v>
      </c>
      <c r="N254" s="2" t="str">
        <f t="shared" si="9"/>
        <v>High Risk</v>
      </c>
    </row>
    <row r="255" spans="1:14" x14ac:dyDescent="0.3">
      <c r="A255" s="2" t="s">
        <v>424</v>
      </c>
      <c r="B255" s="2" t="s">
        <v>105</v>
      </c>
      <c r="C255" s="2" t="s">
        <v>16</v>
      </c>
      <c r="D255" s="2">
        <v>18</v>
      </c>
      <c r="E255" s="2" t="s">
        <v>37</v>
      </c>
      <c r="F255" s="2">
        <v>6</v>
      </c>
      <c r="G255" s="2">
        <v>64</v>
      </c>
      <c r="H255" s="2">
        <v>71</v>
      </c>
      <c r="I255" s="2">
        <v>88</v>
      </c>
      <c r="J255" s="2">
        <v>97.19</v>
      </c>
      <c r="K255" s="2" t="s">
        <v>28</v>
      </c>
      <c r="L255" s="1">
        <f t="shared" si="10"/>
        <v>74.333333333333329</v>
      </c>
      <c r="M255" s="2" t="str">
        <f t="shared" si="11"/>
        <v>Pass</v>
      </c>
      <c r="N255" s="2" t="str">
        <f t="shared" si="9"/>
        <v>Stable</v>
      </c>
    </row>
    <row r="256" spans="1:14" x14ac:dyDescent="0.3">
      <c r="A256" s="2" t="s">
        <v>425</v>
      </c>
      <c r="B256" s="2" t="s">
        <v>426</v>
      </c>
      <c r="C256" s="2" t="s">
        <v>21</v>
      </c>
      <c r="D256" s="2">
        <v>18</v>
      </c>
      <c r="E256" s="2" t="s">
        <v>27</v>
      </c>
      <c r="F256" s="2">
        <v>4</v>
      </c>
      <c r="G256" s="2">
        <v>39</v>
      </c>
      <c r="H256" s="2">
        <v>41</v>
      </c>
      <c r="I256" s="2">
        <v>92</v>
      </c>
      <c r="J256" s="2">
        <v>67.510000000000005</v>
      </c>
      <c r="K256" s="2" t="s">
        <v>31</v>
      </c>
      <c r="L256" s="1">
        <f t="shared" si="10"/>
        <v>57.333333333333336</v>
      </c>
      <c r="M256" s="2" t="str">
        <f t="shared" si="11"/>
        <v>Fail</v>
      </c>
      <c r="N256" s="2" t="str">
        <f t="shared" si="9"/>
        <v>High Risk</v>
      </c>
    </row>
    <row r="257" spans="1:14" x14ac:dyDescent="0.3">
      <c r="A257" s="2" t="s">
        <v>427</v>
      </c>
      <c r="B257" s="2" t="s">
        <v>111</v>
      </c>
      <c r="C257" s="2" t="s">
        <v>16</v>
      </c>
      <c r="D257" s="2">
        <v>22</v>
      </c>
      <c r="E257" s="2" t="s">
        <v>50</v>
      </c>
      <c r="F257" s="2">
        <v>2</v>
      </c>
      <c r="G257" s="2">
        <v>35</v>
      </c>
      <c r="H257" s="2">
        <v>69</v>
      </c>
      <c r="I257" s="2">
        <v>66</v>
      </c>
      <c r="J257" s="2">
        <v>73.25</v>
      </c>
      <c r="K257" s="2" t="s">
        <v>31</v>
      </c>
      <c r="L257" s="1">
        <f t="shared" si="10"/>
        <v>56.666666666666664</v>
      </c>
      <c r="M257" s="2" t="str">
        <f t="shared" si="11"/>
        <v>Fail</v>
      </c>
      <c r="N257" s="2" t="str">
        <f t="shared" si="9"/>
        <v>High Risk</v>
      </c>
    </row>
    <row r="258" spans="1:14" x14ac:dyDescent="0.3">
      <c r="A258" s="2" t="s">
        <v>428</v>
      </c>
      <c r="B258" s="2" t="s">
        <v>255</v>
      </c>
      <c r="C258" s="2" t="s">
        <v>21</v>
      </c>
      <c r="D258" s="2">
        <v>22</v>
      </c>
      <c r="E258" s="2" t="s">
        <v>50</v>
      </c>
      <c r="F258" s="2">
        <v>4</v>
      </c>
      <c r="G258" s="2">
        <v>51</v>
      </c>
      <c r="H258" s="2">
        <v>51</v>
      </c>
      <c r="I258" s="2">
        <v>97</v>
      </c>
      <c r="J258" s="2">
        <v>74.88</v>
      </c>
      <c r="K258" s="2" t="s">
        <v>22</v>
      </c>
      <c r="L258" s="1">
        <f t="shared" si="10"/>
        <v>66.333333333333329</v>
      </c>
      <c r="M258" s="2" t="str">
        <f t="shared" si="11"/>
        <v>Pass</v>
      </c>
      <c r="N258" s="2" t="str">
        <f t="shared" ref="N258:N321" si="12">_xlfn.IFS(M258="Fail", "High Risk", L258&lt;60, "Monitor", TRUE, "Stable")</f>
        <v>Stable</v>
      </c>
    </row>
    <row r="259" spans="1:14" x14ac:dyDescent="0.3">
      <c r="A259" s="2" t="s">
        <v>429</v>
      </c>
      <c r="B259" s="2" t="s">
        <v>430</v>
      </c>
      <c r="C259" s="2" t="s">
        <v>21</v>
      </c>
      <c r="D259" s="2">
        <v>22</v>
      </c>
      <c r="E259" s="2" t="s">
        <v>27</v>
      </c>
      <c r="F259" s="2">
        <v>3</v>
      </c>
      <c r="G259" s="2">
        <v>63</v>
      </c>
      <c r="H259" s="2">
        <v>97</v>
      </c>
      <c r="I259" s="2">
        <v>35</v>
      </c>
      <c r="J259" s="2">
        <v>84.49</v>
      </c>
      <c r="K259" s="2" t="s">
        <v>22</v>
      </c>
      <c r="L259" s="1">
        <f t="shared" si="10"/>
        <v>65</v>
      </c>
      <c r="M259" s="2" t="str">
        <f t="shared" si="11"/>
        <v>Fail</v>
      </c>
      <c r="N259" s="2" t="str">
        <f t="shared" si="12"/>
        <v>High Risk</v>
      </c>
    </row>
    <row r="260" spans="1:14" x14ac:dyDescent="0.3">
      <c r="A260" s="2" t="s">
        <v>431</v>
      </c>
      <c r="B260" s="2" t="s">
        <v>54</v>
      </c>
      <c r="C260" s="2" t="s">
        <v>21</v>
      </c>
      <c r="D260" s="2">
        <v>23</v>
      </c>
      <c r="E260" s="2" t="s">
        <v>27</v>
      </c>
      <c r="F260" s="2">
        <v>2</v>
      </c>
      <c r="G260" s="2">
        <v>47</v>
      </c>
      <c r="H260" s="2">
        <v>72</v>
      </c>
      <c r="I260" s="2">
        <v>38</v>
      </c>
      <c r="J260" s="2">
        <v>89.5</v>
      </c>
      <c r="K260" s="2" t="s">
        <v>31</v>
      </c>
      <c r="L260" s="1">
        <f t="shared" ref="L260:L323" si="13">AVERAGE(G260:I260)</f>
        <v>52.333333333333336</v>
      </c>
      <c r="M260" s="2" t="str">
        <f t="shared" ref="M260:M323" si="14">IF(OR(G260&lt;40, H260&lt;40, I260&lt;40), "Fail", "Pass")</f>
        <v>Fail</v>
      </c>
      <c r="N260" s="2" t="str">
        <f t="shared" si="12"/>
        <v>High Risk</v>
      </c>
    </row>
    <row r="261" spans="1:14" x14ac:dyDescent="0.3">
      <c r="A261" s="2" t="s">
        <v>432</v>
      </c>
      <c r="B261" s="2" t="s">
        <v>232</v>
      </c>
      <c r="C261" s="2" t="s">
        <v>21</v>
      </c>
      <c r="D261" s="2">
        <v>18</v>
      </c>
      <c r="E261" s="2" t="s">
        <v>27</v>
      </c>
      <c r="F261" s="2">
        <v>2</v>
      </c>
      <c r="G261" s="2">
        <v>69</v>
      </c>
      <c r="H261" s="2">
        <v>88</v>
      </c>
      <c r="I261" s="2">
        <v>75</v>
      </c>
      <c r="J261" s="2">
        <v>74.599999999999994</v>
      </c>
      <c r="K261" s="2" t="s">
        <v>28</v>
      </c>
      <c r="L261" s="1">
        <f t="shared" si="13"/>
        <v>77.333333333333329</v>
      </c>
      <c r="M261" s="2" t="str">
        <f t="shared" si="14"/>
        <v>Pass</v>
      </c>
      <c r="N261" s="2" t="str">
        <f t="shared" si="12"/>
        <v>Stable</v>
      </c>
    </row>
    <row r="262" spans="1:14" x14ac:dyDescent="0.3">
      <c r="A262" s="2" t="s">
        <v>433</v>
      </c>
      <c r="B262" s="2" t="s">
        <v>289</v>
      </c>
      <c r="C262" s="2" t="s">
        <v>21</v>
      </c>
      <c r="D262" s="2">
        <v>19</v>
      </c>
      <c r="E262" s="2" t="s">
        <v>50</v>
      </c>
      <c r="F262" s="2">
        <v>3</v>
      </c>
      <c r="G262" s="2">
        <v>90</v>
      </c>
      <c r="H262" s="2">
        <v>61</v>
      </c>
      <c r="I262" s="2">
        <v>93</v>
      </c>
      <c r="J262" s="2">
        <v>69.27</v>
      </c>
      <c r="K262" s="2" t="s">
        <v>18</v>
      </c>
      <c r="L262" s="1">
        <f t="shared" si="13"/>
        <v>81.333333333333329</v>
      </c>
      <c r="M262" s="2" t="str">
        <f t="shared" si="14"/>
        <v>Pass</v>
      </c>
      <c r="N262" s="2" t="str">
        <f t="shared" si="12"/>
        <v>Stable</v>
      </c>
    </row>
    <row r="263" spans="1:14" x14ac:dyDescent="0.3">
      <c r="A263" s="2" t="s">
        <v>434</v>
      </c>
      <c r="B263" s="2" t="s">
        <v>30</v>
      </c>
      <c r="C263" s="2" t="s">
        <v>16</v>
      </c>
      <c r="D263" s="2">
        <v>18</v>
      </c>
      <c r="E263" s="2" t="s">
        <v>37</v>
      </c>
      <c r="F263" s="2">
        <v>4</v>
      </c>
      <c r="G263" s="2">
        <v>72</v>
      </c>
      <c r="H263" s="2">
        <v>97</v>
      </c>
      <c r="I263" s="2">
        <v>68</v>
      </c>
      <c r="J263" s="2">
        <v>82.77</v>
      </c>
      <c r="K263" s="2" t="s">
        <v>28</v>
      </c>
      <c r="L263" s="1">
        <f t="shared" si="13"/>
        <v>79</v>
      </c>
      <c r="M263" s="2" t="str">
        <f t="shared" si="14"/>
        <v>Pass</v>
      </c>
      <c r="N263" s="2" t="str">
        <f t="shared" si="12"/>
        <v>Stable</v>
      </c>
    </row>
    <row r="264" spans="1:14" x14ac:dyDescent="0.3">
      <c r="A264" s="2" t="s">
        <v>435</v>
      </c>
      <c r="B264" s="2" t="s">
        <v>125</v>
      </c>
      <c r="C264" s="2" t="s">
        <v>16</v>
      </c>
      <c r="D264" s="2">
        <v>18</v>
      </c>
      <c r="E264" s="2" t="s">
        <v>50</v>
      </c>
      <c r="F264" s="2">
        <v>6</v>
      </c>
      <c r="G264" s="2">
        <v>46</v>
      </c>
      <c r="H264" s="2">
        <v>62</v>
      </c>
      <c r="I264" s="2">
        <v>66</v>
      </c>
      <c r="J264" s="2">
        <v>90.5</v>
      </c>
      <c r="K264" s="2" t="s">
        <v>31</v>
      </c>
      <c r="L264" s="1">
        <f t="shared" si="13"/>
        <v>58</v>
      </c>
      <c r="M264" s="2" t="str">
        <f t="shared" si="14"/>
        <v>Pass</v>
      </c>
      <c r="N264" s="2" t="str">
        <f t="shared" si="12"/>
        <v>Monitor</v>
      </c>
    </row>
    <row r="265" spans="1:14" x14ac:dyDescent="0.3">
      <c r="A265" s="2" t="s">
        <v>436</v>
      </c>
      <c r="B265" s="2" t="s">
        <v>411</v>
      </c>
      <c r="C265" s="2" t="s">
        <v>16</v>
      </c>
      <c r="D265" s="2">
        <v>23</v>
      </c>
      <c r="E265" s="2" t="s">
        <v>17</v>
      </c>
      <c r="F265" s="2">
        <v>1</v>
      </c>
      <c r="G265" s="2">
        <v>66</v>
      </c>
      <c r="H265" s="2">
        <v>49</v>
      </c>
      <c r="I265" s="2">
        <v>88</v>
      </c>
      <c r="J265" s="2">
        <v>65.03</v>
      </c>
      <c r="K265" s="2" t="s">
        <v>22</v>
      </c>
      <c r="L265" s="1">
        <f t="shared" si="13"/>
        <v>67.666666666666671</v>
      </c>
      <c r="M265" s="2" t="str">
        <f t="shared" si="14"/>
        <v>Pass</v>
      </c>
      <c r="N265" s="2" t="str">
        <f t="shared" si="12"/>
        <v>Stable</v>
      </c>
    </row>
    <row r="266" spans="1:14" x14ac:dyDescent="0.3">
      <c r="A266" s="2" t="s">
        <v>437</v>
      </c>
      <c r="B266" s="2" t="s">
        <v>438</v>
      </c>
      <c r="C266" s="2" t="s">
        <v>21</v>
      </c>
      <c r="D266" s="2">
        <v>18</v>
      </c>
      <c r="E266" s="2" t="s">
        <v>17</v>
      </c>
      <c r="F266" s="2">
        <v>6</v>
      </c>
      <c r="G266" s="2">
        <v>92</v>
      </c>
      <c r="H266" s="2">
        <v>58</v>
      </c>
      <c r="I266" s="2">
        <v>44</v>
      </c>
      <c r="J266" s="2">
        <v>93.12</v>
      </c>
      <c r="K266" s="2" t="s">
        <v>22</v>
      </c>
      <c r="L266" s="1">
        <f t="shared" si="13"/>
        <v>64.666666666666671</v>
      </c>
      <c r="M266" s="2" t="str">
        <f t="shared" si="14"/>
        <v>Pass</v>
      </c>
      <c r="N266" s="2" t="str">
        <f t="shared" si="12"/>
        <v>Stable</v>
      </c>
    </row>
    <row r="267" spans="1:14" x14ac:dyDescent="0.3">
      <c r="A267" s="2" t="s">
        <v>439</v>
      </c>
      <c r="B267" s="2" t="s">
        <v>440</v>
      </c>
      <c r="C267" s="2" t="s">
        <v>21</v>
      </c>
      <c r="D267" s="2">
        <v>22</v>
      </c>
      <c r="E267" s="2" t="s">
        <v>34</v>
      </c>
      <c r="F267" s="2">
        <v>4</v>
      </c>
      <c r="G267" s="2">
        <v>90</v>
      </c>
      <c r="H267" s="2">
        <v>51</v>
      </c>
      <c r="I267" s="2">
        <v>95</v>
      </c>
      <c r="J267" s="2">
        <v>89.17</v>
      </c>
      <c r="K267" s="2" t="s">
        <v>28</v>
      </c>
      <c r="L267" s="1">
        <f t="shared" si="13"/>
        <v>78.666666666666671</v>
      </c>
      <c r="M267" s="2" t="str">
        <f t="shared" si="14"/>
        <v>Pass</v>
      </c>
      <c r="N267" s="2" t="str">
        <f t="shared" si="12"/>
        <v>Stable</v>
      </c>
    </row>
    <row r="268" spans="1:14" x14ac:dyDescent="0.3">
      <c r="A268" s="2" t="s">
        <v>441</v>
      </c>
      <c r="B268" s="2" t="s">
        <v>438</v>
      </c>
      <c r="C268" s="2" t="s">
        <v>16</v>
      </c>
      <c r="D268" s="2">
        <v>18</v>
      </c>
      <c r="E268" s="2" t="s">
        <v>50</v>
      </c>
      <c r="F268" s="2">
        <v>4</v>
      </c>
      <c r="G268" s="2">
        <v>75</v>
      </c>
      <c r="H268" s="2">
        <v>85</v>
      </c>
      <c r="I268" s="2">
        <v>49</v>
      </c>
      <c r="J268" s="2">
        <v>96.33</v>
      </c>
      <c r="K268" s="2" t="s">
        <v>22</v>
      </c>
      <c r="L268" s="1">
        <f t="shared" si="13"/>
        <v>69.666666666666671</v>
      </c>
      <c r="M268" s="2" t="str">
        <f t="shared" si="14"/>
        <v>Pass</v>
      </c>
      <c r="N268" s="2" t="str">
        <f t="shared" si="12"/>
        <v>Stable</v>
      </c>
    </row>
    <row r="269" spans="1:14" x14ac:dyDescent="0.3">
      <c r="A269" s="2" t="s">
        <v>442</v>
      </c>
      <c r="B269" s="2" t="s">
        <v>179</v>
      </c>
      <c r="C269" s="2" t="s">
        <v>21</v>
      </c>
      <c r="D269" s="2">
        <v>19</v>
      </c>
      <c r="E269" s="2" t="s">
        <v>34</v>
      </c>
      <c r="F269" s="2">
        <v>5</v>
      </c>
      <c r="G269" s="2">
        <v>40</v>
      </c>
      <c r="H269" s="2">
        <v>69</v>
      </c>
      <c r="I269" s="2">
        <v>67</v>
      </c>
      <c r="J269" s="2">
        <v>82.35</v>
      </c>
      <c r="K269" s="2" t="s">
        <v>31</v>
      </c>
      <c r="L269" s="1">
        <f t="shared" si="13"/>
        <v>58.666666666666664</v>
      </c>
      <c r="M269" s="2" t="str">
        <f t="shared" si="14"/>
        <v>Pass</v>
      </c>
      <c r="N269" s="2" t="str">
        <f t="shared" si="12"/>
        <v>Monitor</v>
      </c>
    </row>
    <row r="270" spans="1:14" x14ac:dyDescent="0.3">
      <c r="A270" s="2" t="s">
        <v>443</v>
      </c>
      <c r="B270" s="2" t="s">
        <v>395</v>
      </c>
      <c r="C270" s="2" t="s">
        <v>16</v>
      </c>
      <c r="D270" s="2">
        <v>21</v>
      </c>
      <c r="E270" s="2" t="s">
        <v>34</v>
      </c>
      <c r="F270" s="2">
        <v>1</v>
      </c>
      <c r="G270" s="2">
        <v>58</v>
      </c>
      <c r="H270" s="2">
        <v>97</v>
      </c>
      <c r="I270" s="2">
        <v>95</v>
      </c>
      <c r="J270" s="2">
        <v>95.46</v>
      </c>
      <c r="K270" s="2" t="s">
        <v>18</v>
      </c>
      <c r="L270" s="1">
        <f t="shared" si="13"/>
        <v>83.333333333333329</v>
      </c>
      <c r="M270" s="2" t="str">
        <f t="shared" si="14"/>
        <v>Pass</v>
      </c>
      <c r="N270" s="2" t="str">
        <f t="shared" si="12"/>
        <v>Stable</v>
      </c>
    </row>
    <row r="271" spans="1:14" x14ac:dyDescent="0.3">
      <c r="A271" s="2" t="s">
        <v>444</v>
      </c>
      <c r="B271" s="2" t="s">
        <v>116</v>
      </c>
      <c r="C271" s="2" t="s">
        <v>21</v>
      </c>
      <c r="D271" s="2">
        <v>23</v>
      </c>
      <c r="E271" s="2" t="s">
        <v>27</v>
      </c>
      <c r="F271" s="2">
        <v>3</v>
      </c>
      <c r="G271" s="2">
        <v>47</v>
      </c>
      <c r="H271" s="2">
        <v>43</v>
      </c>
      <c r="I271" s="2">
        <v>89</v>
      </c>
      <c r="J271" s="2">
        <v>68.94</v>
      </c>
      <c r="K271" s="2" t="s">
        <v>31</v>
      </c>
      <c r="L271" s="1">
        <f t="shared" si="13"/>
        <v>59.666666666666664</v>
      </c>
      <c r="M271" s="2" t="str">
        <f t="shared" si="14"/>
        <v>Pass</v>
      </c>
      <c r="N271" s="2" t="str">
        <f t="shared" si="12"/>
        <v>Monitor</v>
      </c>
    </row>
    <row r="272" spans="1:14" x14ac:dyDescent="0.3">
      <c r="A272" s="2" t="s">
        <v>445</v>
      </c>
      <c r="B272" s="2" t="s">
        <v>145</v>
      </c>
      <c r="C272" s="2" t="s">
        <v>21</v>
      </c>
      <c r="D272" s="2">
        <v>23</v>
      </c>
      <c r="E272" s="2" t="s">
        <v>34</v>
      </c>
      <c r="F272" s="2">
        <v>4</v>
      </c>
      <c r="G272" s="2">
        <v>65</v>
      </c>
      <c r="H272" s="2">
        <v>45</v>
      </c>
      <c r="I272" s="2">
        <v>35</v>
      </c>
      <c r="J272" s="2">
        <v>82.36</v>
      </c>
      <c r="K272" s="2" t="s">
        <v>55</v>
      </c>
      <c r="L272" s="1">
        <f t="shared" si="13"/>
        <v>48.333333333333336</v>
      </c>
      <c r="M272" s="2" t="str">
        <f t="shared" si="14"/>
        <v>Fail</v>
      </c>
      <c r="N272" s="2" t="str">
        <f t="shared" si="12"/>
        <v>High Risk</v>
      </c>
    </row>
    <row r="273" spans="1:14" x14ac:dyDescent="0.3">
      <c r="A273" s="2" t="s">
        <v>446</v>
      </c>
      <c r="B273" s="2" t="s">
        <v>447</v>
      </c>
      <c r="C273" s="2" t="s">
        <v>16</v>
      </c>
      <c r="D273" s="2">
        <v>20</v>
      </c>
      <c r="E273" s="2" t="s">
        <v>50</v>
      </c>
      <c r="F273" s="2">
        <v>6</v>
      </c>
      <c r="G273" s="2">
        <v>94</v>
      </c>
      <c r="H273" s="2">
        <v>58</v>
      </c>
      <c r="I273" s="2">
        <v>83</v>
      </c>
      <c r="J273" s="2">
        <v>98.02</v>
      </c>
      <c r="K273" s="2" t="s">
        <v>28</v>
      </c>
      <c r="L273" s="1">
        <f t="shared" si="13"/>
        <v>78.333333333333329</v>
      </c>
      <c r="M273" s="2" t="str">
        <f t="shared" si="14"/>
        <v>Pass</v>
      </c>
      <c r="N273" s="2" t="str">
        <f t="shared" si="12"/>
        <v>Stable</v>
      </c>
    </row>
    <row r="274" spans="1:14" x14ac:dyDescent="0.3">
      <c r="A274" s="2" t="s">
        <v>448</v>
      </c>
      <c r="B274" s="2" t="s">
        <v>84</v>
      </c>
      <c r="C274" s="2" t="s">
        <v>16</v>
      </c>
      <c r="D274" s="2">
        <v>19</v>
      </c>
      <c r="E274" s="2" t="s">
        <v>34</v>
      </c>
      <c r="F274" s="2">
        <v>4</v>
      </c>
      <c r="G274" s="2">
        <v>61</v>
      </c>
      <c r="H274" s="2">
        <v>92</v>
      </c>
      <c r="I274" s="2">
        <v>95</v>
      </c>
      <c r="J274" s="2">
        <v>69.92</v>
      </c>
      <c r="K274" s="2" t="s">
        <v>18</v>
      </c>
      <c r="L274" s="1">
        <f t="shared" si="13"/>
        <v>82.666666666666671</v>
      </c>
      <c r="M274" s="2" t="str">
        <f t="shared" si="14"/>
        <v>Pass</v>
      </c>
      <c r="N274" s="2" t="str">
        <f t="shared" si="12"/>
        <v>Stable</v>
      </c>
    </row>
    <row r="275" spans="1:14" x14ac:dyDescent="0.3">
      <c r="A275" s="2" t="s">
        <v>449</v>
      </c>
      <c r="B275" s="2" t="s">
        <v>107</v>
      </c>
      <c r="C275" s="2" t="s">
        <v>16</v>
      </c>
      <c r="D275" s="2">
        <v>22</v>
      </c>
      <c r="E275" s="2" t="s">
        <v>27</v>
      </c>
      <c r="F275" s="2">
        <v>6</v>
      </c>
      <c r="G275" s="2">
        <v>67</v>
      </c>
      <c r="H275" s="2">
        <v>92</v>
      </c>
      <c r="I275" s="2">
        <v>71</v>
      </c>
      <c r="J275" s="2">
        <v>62.9</v>
      </c>
      <c r="K275" s="2" t="s">
        <v>28</v>
      </c>
      <c r="L275" s="1">
        <f t="shared" si="13"/>
        <v>76.666666666666671</v>
      </c>
      <c r="M275" s="2" t="str">
        <f t="shared" si="14"/>
        <v>Pass</v>
      </c>
      <c r="N275" s="2" t="str">
        <f t="shared" si="12"/>
        <v>Stable</v>
      </c>
    </row>
    <row r="276" spans="1:14" x14ac:dyDescent="0.3">
      <c r="A276" s="2" t="s">
        <v>450</v>
      </c>
      <c r="B276" s="2" t="s">
        <v>451</v>
      </c>
      <c r="C276" s="2" t="s">
        <v>21</v>
      </c>
      <c r="D276" s="2">
        <v>23</v>
      </c>
      <c r="E276" s="2" t="s">
        <v>34</v>
      </c>
      <c r="F276" s="2">
        <v>2</v>
      </c>
      <c r="G276" s="2">
        <v>48</v>
      </c>
      <c r="H276" s="2">
        <v>71</v>
      </c>
      <c r="I276" s="2">
        <v>92</v>
      </c>
      <c r="J276" s="2">
        <v>95.02</v>
      </c>
      <c r="K276" s="2" t="s">
        <v>28</v>
      </c>
      <c r="L276" s="1">
        <f t="shared" si="13"/>
        <v>70.333333333333329</v>
      </c>
      <c r="M276" s="2" t="str">
        <f t="shared" si="14"/>
        <v>Pass</v>
      </c>
      <c r="N276" s="2" t="str">
        <f t="shared" si="12"/>
        <v>Stable</v>
      </c>
    </row>
    <row r="277" spans="1:14" x14ac:dyDescent="0.3">
      <c r="A277" s="2" t="s">
        <v>452</v>
      </c>
      <c r="B277" s="2" t="s">
        <v>91</v>
      </c>
      <c r="C277" s="2" t="s">
        <v>21</v>
      </c>
      <c r="D277" s="2">
        <v>23</v>
      </c>
      <c r="E277" s="2" t="s">
        <v>50</v>
      </c>
      <c r="F277" s="2">
        <v>4</v>
      </c>
      <c r="G277" s="2">
        <v>58</v>
      </c>
      <c r="H277" s="2">
        <v>79</v>
      </c>
      <c r="I277" s="2">
        <v>76</v>
      </c>
      <c r="J277" s="2">
        <v>95.92</v>
      </c>
      <c r="K277" s="2" t="s">
        <v>28</v>
      </c>
      <c r="L277" s="1">
        <f t="shared" si="13"/>
        <v>71</v>
      </c>
      <c r="M277" s="2" t="str">
        <f t="shared" si="14"/>
        <v>Pass</v>
      </c>
      <c r="N277" s="2" t="str">
        <f t="shared" si="12"/>
        <v>Stable</v>
      </c>
    </row>
    <row r="278" spans="1:14" x14ac:dyDescent="0.3">
      <c r="A278" s="2" t="s">
        <v>453</v>
      </c>
      <c r="B278" s="2" t="s">
        <v>454</v>
      </c>
      <c r="C278" s="2" t="s">
        <v>21</v>
      </c>
      <c r="D278" s="2">
        <v>19</v>
      </c>
      <c r="E278" s="2" t="s">
        <v>34</v>
      </c>
      <c r="F278" s="2">
        <v>1</v>
      </c>
      <c r="G278" s="2">
        <v>43</v>
      </c>
      <c r="H278" s="2">
        <v>96</v>
      </c>
      <c r="I278" s="2">
        <v>53</v>
      </c>
      <c r="J278" s="2">
        <v>75.5</v>
      </c>
      <c r="K278" s="2" t="s">
        <v>22</v>
      </c>
      <c r="L278" s="1">
        <f t="shared" si="13"/>
        <v>64</v>
      </c>
      <c r="M278" s="2" t="str">
        <f t="shared" si="14"/>
        <v>Pass</v>
      </c>
      <c r="N278" s="2" t="str">
        <f t="shared" si="12"/>
        <v>Stable</v>
      </c>
    </row>
    <row r="279" spans="1:14" x14ac:dyDescent="0.3">
      <c r="A279" s="2" t="s">
        <v>455</v>
      </c>
      <c r="B279" s="2" t="s">
        <v>166</v>
      </c>
      <c r="C279" s="2" t="s">
        <v>16</v>
      </c>
      <c r="D279" s="2">
        <v>18</v>
      </c>
      <c r="E279" s="2" t="s">
        <v>34</v>
      </c>
      <c r="F279" s="2">
        <v>1</v>
      </c>
      <c r="G279" s="2">
        <v>49</v>
      </c>
      <c r="H279" s="2">
        <v>54</v>
      </c>
      <c r="I279" s="2">
        <v>79</v>
      </c>
      <c r="J279" s="2">
        <v>92.39</v>
      </c>
      <c r="K279" s="2" t="s">
        <v>22</v>
      </c>
      <c r="L279" s="1">
        <f t="shared" si="13"/>
        <v>60.666666666666664</v>
      </c>
      <c r="M279" s="2" t="str">
        <f t="shared" si="14"/>
        <v>Pass</v>
      </c>
      <c r="N279" s="2" t="str">
        <f t="shared" si="12"/>
        <v>Stable</v>
      </c>
    </row>
    <row r="280" spans="1:14" x14ac:dyDescent="0.3">
      <c r="A280" s="2" t="s">
        <v>456</v>
      </c>
      <c r="B280" s="2" t="s">
        <v>128</v>
      </c>
      <c r="C280" s="2" t="s">
        <v>21</v>
      </c>
      <c r="D280" s="2">
        <v>21</v>
      </c>
      <c r="E280" s="2" t="s">
        <v>37</v>
      </c>
      <c r="F280" s="2">
        <v>4</v>
      </c>
      <c r="G280" s="2">
        <v>58</v>
      </c>
      <c r="H280" s="2">
        <v>96</v>
      </c>
      <c r="I280" s="2">
        <v>77</v>
      </c>
      <c r="J280" s="2">
        <v>85.73</v>
      </c>
      <c r="K280" s="2" t="s">
        <v>28</v>
      </c>
      <c r="L280" s="1">
        <f t="shared" si="13"/>
        <v>77</v>
      </c>
      <c r="M280" s="2" t="str">
        <f t="shared" si="14"/>
        <v>Pass</v>
      </c>
      <c r="N280" s="2" t="str">
        <f t="shared" si="12"/>
        <v>Stable</v>
      </c>
    </row>
    <row r="281" spans="1:14" x14ac:dyDescent="0.3">
      <c r="A281" s="2" t="s">
        <v>457</v>
      </c>
      <c r="B281" s="2" t="s">
        <v>255</v>
      </c>
      <c r="C281" s="2" t="s">
        <v>16</v>
      </c>
      <c r="D281" s="2">
        <v>21</v>
      </c>
      <c r="E281" s="2" t="s">
        <v>34</v>
      </c>
      <c r="F281" s="2">
        <v>3</v>
      </c>
      <c r="G281" s="2">
        <v>92</v>
      </c>
      <c r="H281" s="2">
        <v>60</v>
      </c>
      <c r="I281" s="2">
        <v>43</v>
      </c>
      <c r="J281" s="2">
        <v>67.13</v>
      </c>
      <c r="K281" s="2" t="s">
        <v>22</v>
      </c>
      <c r="L281" s="1">
        <f t="shared" si="13"/>
        <v>65</v>
      </c>
      <c r="M281" s="2" t="str">
        <f t="shared" si="14"/>
        <v>Pass</v>
      </c>
      <c r="N281" s="2" t="str">
        <f t="shared" si="12"/>
        <v>Stable</v>
      </c>
    </row>
    <row r="282" spans="1:14" x14ac:dyDescent="0.3">
      <c r="A282" s="2" t="s">
        <v>458</v>
      </c>
      <c r="B282" s="2" t="s">
        <v>168</v>
      </c>
      <c r="C282" s="2" t="s">
        <v>16</v>
      </c>
      <c r="D282" s="2">
        <v>23</v>
      </c>
      <c r="E282" s="2" t="s">
        <v>37</v>
      </c>
      <c r="F282" s="2">
        <v>4</v>
      </c>
      <c r="G282" s="2">
        <v>44</v>
      </c>
      <c r="H282" s="2">
        <v>82</v>
      </c>
      <c r="I282" s="2">
        <v>56</v>
      </c>
      <c r="J282" s="2">
        <v>91.68</v>
      </c>
      <c r="K282" s="2" t="s">
        <v>22</v>
      </c>
      <c r="L282" s="1">
        <f t="shared" si="13"/>
        <v>60.666666666666664</v>
      </c>
      <c r="M282" s="2" t="str">
        <f t="shared" si="14"/>
        <v>Pass</v>
      </c>
      <c r="N282" s="2" t="str">
        <f t="shared" si="12"/>
        <v>Stable</v>
      </c>
    </row>
    <row r="283" spans="1:14" x14ac:dyDescent="0.3">
      <c r="A283" s="2" t="s">
        <v>459</v>
      </c>
      <c r="B283" s="2" t="s">
        <v>460</v>
      </c>
      <c r="C283" s="2" t="s">
        <v>16</v>
      </c>
      <c r="D283" s="2">
        <v>20</v>
      </c>
      <c r="E283" s="2" t="s">
        <v>27</v>
      </c>
      <c r="F283" s="2">
        <v>2</v>
      </c>
      <c r="G283" s="2">
        <v>45</v>
      </c>
      <c r="H283" s="2">
        <v>52</v>
      </c>
      <c r="I283" s="2">
        <v>82</v>
      </c>
      <c r="J283" s="2">
        <v>93.96</v>
      </c>
      <c r="K283" s="2" t="s">
        <v>31</v>
      </c>
      <c r="L283" s="1">
        <f t="shared" si="13"/>
        <v>59.666666666666664</v>
      </c>
      <c r="M283" s="2" t="str">
        <f t="shared" si="14"/>
        <v>Pass</v>
      </c>
      <c r="N283" s="2" t="str">
        <f t="shared" si="12"/>
        <v>Monitor</v>
      </c>
    </row>
    <row r="284" spans="1:14" x14ac:dyDescent="0.3">
      <c r="A284" s="2" t="s">
        <v>461</v>
      </c>
      <c r="B284" s="2" t="s">
        <v>174</v>
      </c>
      <c r="C284" s="2" t="s">
        <v>21</v>
      </c>
      <c r="D284" s="2">
        <v>22</v>
      </c>
      <c r="E284" s="2" t="s">
        <v>34</v>
      </c>
      <c r="F284" s="2">
        <v>2</v>
      </c>
      <c r="G284" s="2">
        <v>73</v>
      </c>
      <c r="H284" s="2">
        <v>97</v>
      </c>
      <c r="I284" s="2">
        <v>36</v>
      </c>
      <c r="J284" s="2">
        <v>91.62</v>
      </c>
      <c r="K284" s="2" t="s">
        <v>22</v>
      </c>
      <c r="L284" s="1">
        <f t="shared" si="13"/>
        <v>68.666666666666671</v>
      </c>
      <c r="M284" s="2" t="str">
        <f t="shared" si="14"/>
        <v>Fail</v>
      </c>
      <c r="N284" s="2" t="str">
        <f t="shared" si="12"/>
        <v>High Risk</v>
      </c>
    </row>
    <row r="285" spans="1:14" x14ac:dyDescent="0.3">
      <c r="A285" s="2" t="s">
        <v>462</v>
      </c>
      <c r="B285" s="2" t="s">
        <v>463</v>
      </c>
      <c r="C285" s="2" t="s">
        <v>21</v>
      </c>
      <c r="D285" s="2">
        <v>22</v>
      </c>
      <c r="E285" s="2" t="s">
        <v>37</v>
      </c>
      <c r="F285" s="2">
        <v>6</v>
      </c>
      <c r="G285" s="2">
        <v>90</v>
      </c>
      <c r="H285" s="2">
        <v>100</v>
      </c>
      <c r="I285" s="2">
        <v>43</v>
      </c>
      <c r="J285" s="2">
        <v>64.099999999999994</v>
      </c>
      <c r="K285" s="2" t="s">
        <v>28</v>
      </c>
      <c r="L285" s="1">
        <f t="shared" si="13"/>
        <v>77.666666666666671</v>
      </c>
      <c r="M285" s="2" t="str">
        <f t="shared" si="14"/>
        <v>Pass</v>
      </c>
      <c r="N285" s="2" t="str">
        <f t="shared" si="12"/>
        <v>Stable</v>
      </c>
    </row>
    <row r="286" spans="1:14" x14ac:dyDescent="0.3">
      <c r="A286" s="2" t="s">
        <v>464</v>
      </c>
      <c r="B286" s="2" t="s">
        <v>166</v>
      </c>
      <c r="C286" s="2" t="s">
        <v>16</v>
      </c>
      <c r="D286" s="2">
        <v>20</v>
      </c>
      <c r="E286" s="2" t="s">
        <v>17</v>
      </c>
      <c r="F286" s="2">
        <v>1</v>
      </c>
      <c r="G286" s="2">
        <v>45</v>
      </c>
      <c r="H286" s="2">
        <v>86</v>
      </c>
      <c r="I286" s="2">
        <v>53</v>
      </c>
      <c r="J286" s="2">
        <v>70.72</v>
      </c>
      <c r="K286" s="2" t="s">
        <v>22</v>
      </c>
      <c r="L286" s="1">
        <f t="shared" si="13"/>
        <v>61.333333333333336</v>
      </c>
      <c r="M286" s="2" t="str">
        <f t="shared" si="14"/>
        <v>Pass</v>
      </c>
      <c r="N286" s="2" t="str">
        <f t="shared" si="12"/>
        <v>Stable</v>
      </c>
    </row>
    <row r="287" spans="1:14" x14ac:dyDescent="0.3">
      <c r="A287" s="2" t="s">
        <v>465</v>
      </c>
      <c r="B287" s="2" t="s">
        <v>466</v>
      </c>
      <c r="C287" s="2" t="s">
        <v>21</v>
      </c>
      <c r="D287" s="2">
        <v>19</v>
      </c>
      <c r="E287" s="2" t="s">
        <v>27</v>
      </c>
      <c r="F287" s="2">
        <v>2</v>
      </c>
      <c r="G287" s="2">
        <v>37</v>
      </c>
      <c r="H287" s="2">
        <v>66</v>
      </c>
      <c r="I287" s="2">
        <v>98</v>
      </c>
      <c r="J287" s="2">
        <v>93.41</v>
      </c>
      <c r="K287" s="2" t="s">
        <v>22</v>
      </c>
      <c r="L287" s="1">
        <f t="shared" si="13"/>
        <v>67</v>
      </c>
      <c r="M287" s="2" t="str">
        <f t="shared" si="14"/>
        <v>Fail</v>
      </c>
      <c r="N287" s="2" t="str">
        <f t="shared" si="12"/>
        <v>High Risk</v>
      </c>
    </row>
    <row r="288" spans="1:14" x14ac:dyDescent="0.3">
      <c r="A288" s="2" t="s">
        <v>467</v>
      </c>
      <c r="B288" s="2" t="s">
        <v>52</v>
      </c>
      <c r="C288" s="2" t="s">
        <v>21</v>
      </c>
      <c r="D288" s="2">
        <v>18</v>
      </c>
      <c r="E288" s="2" t="s">
        <v>37</v>
      </c>
      <c r="F288" s="2">
        <v>4</v>
      </c>
      <c r="G288" s="2">
        <v>43</v>
      </c>
      <c r="H288" s="2">
        <v>81</v>
      </c>
      <c r="I288" s="2">
        <v>71</v>
      </c>
      <c r="J288" s="2">
        <v>79.06</v>
      </c>
      <c r="K288" s="2" t="s">
        <v>22</v>
      </c>
      <c r="L288" s="1">
        <f t="shared" si="13"/>
        <v>65</v>
      </c>
      <c r="M288" s="2" t="str">
        <f t="shared" si="14"/>
        <v>Pass</v>
      </c>
      <c r="N288" s="2" t="str">
        <f t="shared" si="12"/>
        <v>Stable</v>
      </c>
    </row>
    <row r="289" spans="1:14" x14ac:dyDescent="0.3">
      <c r="A289" s="2" t="s">
        <v>468</v>
      </c>
      <c r="B289" s="2" t="s">
        <v>105</v>
      </c>
      <c r="C289" s="2" t="s">
        <v>21</v>
      </c>
      <c r="D289" s="2">
        <v>21</v>
      </c>
      <c r="E289" s="2" t="s">
        <v>37</v>
      </c>
      <c r="F289" s="2">
        <v>5</v>
      </c>
      <c r="G289" s="2">
        <v>64</v>
      </c>
      <c r="H289" s="2">
        <v>98</v>
      </c>
      <c r="I289" s="2">
        <v>39</v>
      </c>
      <c r="J289" s="2">
        <v>92.14</v>
      </c>
      <c r="K289" s="2" t="s">
        <v>22</v>
      </c>
      <c r="L289" s="1">
        <f t="shared" si="13"/>
        <v>67</v>
      </c>
      <c r="M289" s="2" t="str">
        <f t="shared" si="14"/>
        <v>Fail</v>
      </c>
      <c r="N289" s="2" t="str">
        <f t="shared" si="12"/>
        <v>High Risk</v>
      </c>
    </row>
    <row r="290" spans="1:14" x14ac:dyDescent="0.3">
      <c r="A290" s="2" t="s">
        <v>469</v>
      </c>
      <c r="B290" s="2" t="s">
        <v>30</v>
      </c>
      <c r="C290" s="2" t="s">
        <v>16</v>
      </c>
      <c r="D290" s="2">
        <v>20</v>
      </c>
      <c r="E290" s="2" t="s">
        <v>37</v>
      </c>
      <c r="F290" s="2">
        <v>3</v>
      </c>
      <c r="G290" s="2">
        <v>52</v>
      </c>
      <c r="H290" s="2">
        <v>47</v>
      </c>
      <c r="I290" s="2">
        <v>64</v>
      </c>
      <c r="J290" s="2">
        <v>80.55</v>
      </c>
      <c r="K290" s="2" t="s">
        <v>31</v>
      </c>
      <c r="L290" s="1">
        <f t="shared" si="13"/>
        <v>54.333333333333336</v>
      </c>
      <c r="M290" s="2" t="str">
        <f t="shared" si="14"/>
        <v>Pass</v>
      </c>
      <c r="N290" s="2" t="str">
        <f t="shared" si="12"/>
        <v>Monitor</v>
      </c>
    </row>
    <row r="291" spans="1:14" x14ac:dyDescent="0.3">
      <c r="A291" s="2" t="s">
        <v>470</v>
      </c>
      <c r="B291" s="2" t="s">
        <v>52</v>
      </c>
      <c r="C291" s="2" t="s">
        <v>21</v>
      </c>
      <c r="D291" s="2">
        <v>22</v>
      </c>
      <c r="E291" s="2" t="s">
        <v>50</v>
      </c>
      <c r="F291" s="2">
        <v>4</v>
      </c>
      <c r="G291" s="2">
        <v>36</v>
      </c>
      <c r="H291" s="2">
        <v>67</v>
      </c>
      <c r="I291" s="2">
        <v>74</v>
      </c>
      <c r="J291" s="2">
        <v>63.86</v>
      </c>
      <c r="K291" s="2" t="s">
        <v>31</v>
      </c>
      <c r="L291" s="1">
        <f t="shared" si="13"/>
        <v>59</v>
      </c>
      <c r="M291" s="2" t="str">
        <f t="shared" si="14"/>
        <v>Fail</v>
      </c>
      <c r="N291" s="2" t="str">
        <f t="shared" si="12"/>
        <v>High Risk</v>
      </c>
    </row>
    <row r="292" spans="1:14" x14ac:dyDescent="0.3">
      <c r="A292" s="2" t="s">
        <v>471</v>
      </c>
      <c r="B292" s="2" t="s">
        <v>472</v>
      </c>
      <c r="C292" s="2" t="s">
        <v>16</v>
      </c>
      <c r="D292" s="2">
        <v>20</v>
      </c>
      <c r="E292" s="2" t="s">
        <v>37</v>
      </c>
      <c r="F292" s="2">
        <v>1</v>
      </c>
      <c r="G292" s="2">
        <v>66</v>
      </c>
      <c r="H292" s="2">
        <v>37</v>
      </c>
      <c r="I292" s="2">
        <v>98</v>
      </c>
      <c r="J292" s="2">
        <v>85.02</v>
      </c>
      <c r="K292" s="2" t="s">
        <v>22</v>
      </c>
      <c r="L292" s="1">
        <f t="shared" si="13"/>
        <v>67</v>
      </c>
      <c r="M292" s="2" t="str">
        <f t="shared" si="14"/>
        <v>Fail</v>
      </c>
      <c r="N292" s="2" t="str">
        <f t="shared" si="12"/>
        <v>High Risk</v>
      </c>
    </row>
    <row r="293" spans="1:14" x14ac:dyDescent="0.3">
      <c r="A293" s="2" t="s">
        <v>473</v>
      </c>
      <c r="B293" s="2" t="s">
        <v>220</v>
      </c>
      <c r="C293" s="2" t="s">
        <v>16</v>
      </c>
      <c r="D293" s="2">
        <v>22</v>
      </c>
      <c r="E293" s="2" t="s">
        <v>34</v>
      </c>
      <c r="F293" s="2">
        <v>3</v>
      </c>
      <c r="G293" s="2">
        <v>85</v>
      </c>
      <c r="H293" s="2">
        <v>59</v>
      </c>
      <c r="I293" s="2">
        <v>88</v>
      </c>
      <c r="J293" s="2">
        <v>95.64</v>
      </c>
      <c r="K293" s="2" t="s">
        <v>28</v>
      </c>
      <c r="L293" s="1">
        <f t="shared" si="13"/>
        <v>77.333333333333329</v>
      </c>
      <c r="M293" s="2" t="str">
        <f t="shared" si="14"/>
        <v>Pass</v>
      </c>
      <c r="N293" s="2" t="str">
        <f t="shared" si="12"/>
        <v>Stable</v>
      </c>
    </row>
    <row r="294" spans="1:14" x14ac:dyDescent="0.3">
      <c r="A294" s="2" t="s">
        <v>474</v>
      </c>
      <c r="B294" s="2" t="s">
        <v>475</v>
      </c>
      <c r="C294" s="2" t="s">
        <v>21</v>
      </c>
      <c r="D294" s="2">
        <v>20</v>
      </c>
      <c r="E294" s="2" t="s">
        <v>37</v>
      </c>
      <c r="F294" s="2">
        <v>4</v>
      </c>
      <c r="G294" s="2">
        <v>95</v>
      </c>
      <c r="H294" s="2">
        <v>54</v>
      </c>
      <c r="I294" s="2">
        <v>93</v>
      </c>
      <c r="J294" s="2">
        <v>75.25</v>
      </c>
      <c r="K294" s="2" t="s">
        <v>18</v>
      </c>
      <c r="L294" s="1">
        <f t="shared" si="13"/>
        <v>80.666666666666671</v>
      </c>
      <c r="M294" s="2" t="str">
        <f t="shared" si="14"/>
        <v>Pass</v>
      </c>
      <c r="N294" s="2" t="str">
        <f t="shared" si="12"/>
        <v>Stable</v>
      </c>
    </row>
    <row r="295" spans="1:14" x14ac:dyDescent="0.3">
      <c r="A295" s="2" t="s">
        <v>476</v>
      </c>
      <c r="B295" s="2" t="s">
        <v>41</v>
      </c>
      <c r="C295" s="2" t="s">
        <v>21</v>
      </c>
      <c r="D295" s="2">
        <v>23</v>
      </c>
      <c r="E295" s="2" t="s">
        <v>27</v>
      </c>
      <c r="F295" s="2">
        <v>1</v>
      </c>
      <c r="G295" s="2">
        <v>54</v>
      </c>
      <c r="H295" s="2">
        <v>86</v>
      </c>
      <c r="I295" s="2">
        <v>90</v>
      </c>
      <c r="J295" s="2">
        <v>86.62</v>
      </c>
      <c r="K295" s="2" t="s">
        <v>28</v>
      </c>
      <c r="L295" s="1">
        <f t="shared" si="13"/>
        <v>76.666666666666671</v>
      </c>
      <c r="M295" s="2" t="str">
        <f t="shared" si="14"/>
        <v>Pass</v>
      </c>
      <c r="N295" s="2" t="str">
        <f t="shared" si="12"/>
        <v>Stable</v>
      </c>
    </row>
    <row r="296" spans="1:14" x14ac:dyDescent="0.3">
      <c r="A296" s="2" t="s">
        <v>477</v>
      </c>
      <c r="B296" s="2" t="s">
        <v>308</v>
      </c>
      <c r="C296" s="2" t="s">
        <v>21</v>
      </c>
      <c r="D296" s="2">
        <v>21</v>
      </c>
      <c r="E296" s="2" t="s">
        <v>17</v>
      </c>
      <c r="F296" s="2">
        <v>6</v>
      </c>
      <c r="G296" s="2">
        <v>53</v>
      </c>
      <c r="H296" s="2">
        <v>93</v>
      </c>
      <c r="I296" s="2">
        <v>64</v>
      </c>
      <c r="J296" s="2">
        <v>82.93</v>
      </c>
      <c r="K296" s="2" t="s">
        <v>28</v>
      </c>
      <c r="L296" s="1">
        <f t="shared" si="13"/>
        <v>70</v>
      </c>
      <c r="M296" s="2" t="str">
        <f t="shared" si="14"/>
        <v>Pass</v>
      </c>
      <c r="N296" s="2" t="str">
        <f t="shared" si="12"/>
        <v>Stable</v>
      </c>
    </row>
    <row r="297" spans="1:14" x14ac:dyDescent="0.3">
      <c r="A297" s="2" t="s">
        <v>478</v>
      </c>
      <c r="B297" s="2" t="s">
        <v>191</v>
      </c>
      <c r="C297" s="2" t="s">
        <v>21</v>
      </c>
      <c r="D297" s="2">
        <v>22</v>
      </c>
      <c r="E297" s="2" t="s">
        <v>34</v>
      </c>
      <c r="F297" s="2">
        <v>5</v>
      </c>
      <c r="G297" s="2">
        <v>47</v>
      </c>
      <c r="H297" s="2">
        <v>91</v>
      </c>
      <c r="I297" s="2">
        <v>35</v>
      </c>
      <c r="J297" s="2">
        <v>82.93</v>
      </c>
      <c r="K297" s="2" t="s">
        <v>31</v>
      </c>
      <c r="L297" s="1">
        <f t="shared" si="13"/>
        <v>57.666666666666664</v>
      </c>
      <c r="M297" s="2" t="str">
        <f t="shared" si="14"/>
        <v>Fail</v>
      </c>
      <c r="N297" s="2" t="str">
        <f t="shared" si="12"/>
        <v>High Risk</v>
      </c>
    </row>
    <row r="298" spans="1:14" x14ac:dyDescent="0.3">
      <c r="A298" s="2" t="s">
        <v>479</v>
      </c>
      <c r="B298" s="2" t="s">
        <v>97</v>
      </c>
      <c r="C298" s="2" t="s">
        <v>16</v>
      </c>
      <c r="D298" s="2">
        <v>19</v>
      </c>
      <c r="E298" s="2" t="s">
        <v>50</v>
      </c>
      <c r="F298" s="2">
        <v>2</v>
      </c>
      <c r="G298" s="2">
        <v>65</v>
      </c>
      <c r="H298" s="2">
        <v>90</v>
      </c>
      <c r="I298" s="2">
        <v>90</v>
      </c>
      <c r="J298" s="2">
        <v>63</v>
      </c>
      <c r="K298" s="2" t="s">
        <v>18</v>
      </c>
      <c r="L298" s="1">
        <f t="shared" si="13"/>
        <v>81.666666666666671</v>
      </c>
      <c r="M298" s="2" t="str">
        <f t="shared" si="14"/>
        <v>Pass</v>
      </c>
      <c r="N298" s="2" t="str">
        <f t="shared" si="12"/>
        <v>Stable</v>
      </c>
    </row>
    <row r="299" spans="1:14" x14ac:dyDescent="0.3">
      <c r="A299" s="2" t="s">
        <v>480</v>
      </c>
      <c r="B299" s="2" t="s">
        <v>213</v>
      </c>
      <c r="C299" s="2" t="s">
        <v>21</v>
      </c>
      <c r="D299" s="2">
        <v>22</v>
      </c>
      <c r="E299" s="2" t="s">
        <v>37</v>
      </c>
      <c r="F299" s="2">
        <v>6</v>
      </c>
      <c r="G299" s="2">
        <v>46</v>
      </c>
      <c r="H299" s="2">
        <v>83</v>
      </c>
      <c r="I299" s="2">
        <v>83</v>
      </c>
      <c r="J299" s="2">
        <v>74.569999999999993</v>
      </c>
      <c r="K299" s="2" t="s">
        <v>28</v>
      </c>
      <c r="L299" s="1">
        <f t="shared" si="13"/>
        <v>70.666666666666671</v>
      </c>
      <c r="M299" s="2" t="str">
        <f t="shared" si="14"/>
        <v>Pass</v>
      </c>
      <c r="N299" s="2" t="str">
        <f t="shared" si="12"/>
        <v>Stable</v>
      </c>
    </row>
    <row r="300" spans="1:14" x14ac:dyDescent="0.3">
      <c r="A300" s="2" t="s">
        <v>481</v>
      </c>
      <c r="B300" s="2" t="s">
        <v>49</v>
      </c>
      <c r="C300" s="2" t="s">
        <v>21</v>
      </c>
      <c r="D300" s="2">
        <v>18</v>
      </c>
      <c r="E300" s="2" t="s">
        <v>50</v>
      </c>
      <c r="F300" s="2">
        <v>5</v>
      </c>
      <c r="G300" s="2">
        <v>67</v>
      </c>
      <c r="H300" s="2">
        <v>84</v>
      </c>
      <c r="I300" s="2">
        <v>41</v>
      </c>
      <c r="J300" s="2">
        <v>80.180000000000007</v>
      </c>
      <c r="K300" s="2" t="s">
        <v>22</v>
      </c>
      <c r="L300" s="1">
        <f t="shared" si="13"/>
        <v>64</v>
      </c>
      <c r="M300" s="2" t="str">
        <f t="shared" si="14"/>
        <v>Pass</v>
      </c>
      <c r="N300" s="2" t="str">
        <f t="shared" si="12"/>
        <v>Stable</v>
      </c>
    </row>
    <row r="301" spans="1:14" x14ac:dyDescent="0.3">
      <c r="A301" s="2" t="s">
        <v>482</v>
      </c>
      <c r="B301" s="2" t="s">
        <v>49</v>
      </c>
      <c r="C301" s="2" t="s">
        <v>21</v>
      </c>
      <c r="D301" s="2">
        <v>22</v>
      </c>
      <c r="E301" s="2" t="s">
        <v>17</v>
      </c>
      <c r="F301" s="2">
        <v>2</v>
      </c>
      <c r="G301" s="2">
        <v>67</v>
      </c>
      <c r="H301" s="2">
        <v>75</v>
      </c>
      <c r="I301" s="2">
        <v>57</v>
      </c>
      <c r="J301" s="2">
        <v>98.07</v>
      </c>
      <c r="K301" s="2" t="s">
        <v>22</v>
      </c>
      <c r="L301" s="1">
        <f t="shared" si="13"/>
        <v>66.333333333333329</v>
      </c>
      <c r="M301" s="2" t="str">
        <f t="shared" si="14"/>
        <v>Pass</v>
      </c>
      <c r="N301" s="2" t="str">
        <f t="shared" si="12"/>
        <v>Stable</v>
      </c>
    </row>
    <row r="302" spans="1:14" x14ac:dyDescent="0.3">
      <c r="A302" s="2" t="s">
        <v>483</v>
      </c>
      <c r="B302" s="2" t="s">
        <v>484</v>
      </c>
      <c r="C302" s="2" t="s">
        <v>21</v>
      </c>
      <c r="D302" s="2">
        <v>19</v>
      </c>
      <c r="E302" s="2" t="s">
        <v>50</v>
      </c>
      <c r="F302" s="2">
        <v>3</v>
      </c>
      <c r="G302" s="2">
        <v>75</v>
      </c>
      <c r="H302" s="2">
        <v>95</v>
      </c>
      <c r="I302" s="2">
        <v>47</v>
      </c>
      <c r="J302" s="2">
        <v>78.34</v>
      </c>
      <c r="K302" s="2" t="s">
        <v>28</v>
      </c>
      <c r="L302" s="1">
        <f t="shared" si="13"/>
        <v>72.333333333333329</v>
      </c>
      <c r="M302" s="2" t="str">
        <f t="shared" si="14"/>
        <v>Pass</v>
      </c>
      <c r="N302" s="2" t="str">
        <f t="shared" si="12"/>
        <v>Stable</v>
      </c>
    </row>
    <row r="303" spans="1:14" x14ac:dyDescent="0.3">
      <c r="A303" s="2" t="s">
        <v>485</v>
      </c>
      <c r="B303" s="2" t="s">
        <v>107</v>
      </c>
      <c r="C303" s="2" t="s">
        <v>21</v>
      </c>
      <c r="D303" s="2">
        <v>20</v>
      </c>
      <c r="E303" s="2" t="s">
        <v>27</v>
      </c>
      <c r="F303" s="2">
        <v>5</v>
      </c>
      <c r="G303" s="2">
        <v>71</v>
      </c>
      <c r="H303" s="2">
        <v>63</v>
      </c>
      <c r="I303" s="2">
        <v>87</v>
      </c>
      <c r="J303" s="2">
        <v>85.29</v>
      </c>
      <c r="K303" s="2" t="s">
        <v>28</v>
      </c>
      <c r="L303" s="1">
        <f t="shared" si="13"/>
        <v>73.666666666666671</v>
      </c>
      <c r="M303" s="2" t="str">
        <f t="shared" si="14"/>
        <v>Pass</v>
      </c>
      <c r="N303" s="2" t="str">
        <f t="shared" si="12"/>
        <v>Stable</v>
      </c>
    </row>
    <row r="304" spans="1:14" x14ac:dyDescent="0.3">
      <c r="A304" s="2" t="s">
        <v>486</v>
      </c>
      <c r="B304" s="2" t="s">
        <v>70</v>
      </c>
      <c r="C304" s="2" t="s">
        <v>21</v>
      </c>
      <c r="D304" s="2">
        <v>18</v>
      </c>
      <c r="E304" s="2" t="s">
        <v>27</v>
      </c>
      <c r="F304" s="2">
        <v>3</v>
      </c>
      <c r="G304" s="2">
        <v>91</v>
      </c>
      <c r="H304" s="2">
        <v>83</v>
      </c>
      <c r="I304" s="2">
        <v>94</v>
      </c>
      <c r="J304" s="2">
        <v>98.8</v>
      </c>
      <c r="K304" s="2" t="s">
        <v>18</v>
      </c>
      <c r="L304" s="1">
        <f t="shared" si="13"/>
        <v>89.333333333333329</v>
      </c>
      <c r="M304" s="2" t="str">
        <f t="shared" si="14"/>
        <v>Pass</v>
      </c>
      <c r="N304" s="2" t="str">
        <f t="shared" si="12"/>
        <v>Stable</v>
      </c>
    </row>
    <row r="305" spans="1:14" x14ac:dyDescent="0.3">
      <c r="A305" s="2" t="s">
        <v>487</v>
      </c>
      <c r="B305" s="2" t="s">
        <v>488</v>
      </c>
      <c r="C305" s="2" t="s">
        <v>21</v>
      </c>
      <c r="D305" s="2">
        <v>23</v>
      </c>
      <c r="E305" s="2" t="s">
        <v>37</v>
      </c>
      <c r="F305" s="2">
        <v>2</v>
      </c>
      <c r="G305" s="2">
        <v>68</v>
      </c>
      <c r="H305" s="2">
        <v>36</v>
      </c>
      <c r="I305" s="2">
        <v>94</v>
      </c>
      <c r="J305" s="2">
        <v>77.27</v>
      </c>
      <c r="K305" s="2" t="s">
        <v>22</v>
      </c>
      <c r="L305" s="1">
        <f t="shared" si="13"/>
        <v>66</v>
      </c>
      <c r="M305" s="2" t="str">
        <f t="shared" si="14"/>
        <v>Fail</v>
      </c>
      <c r="N305" s="2" t="str">
        <f t="shared" si="12"/>
        <v>High Risk</v>
      </c>
    </row>
    <row r="306" spans="1:14" x14ac:dyDescent="0.3">
      <c r="A306" s="2" t="s">
        <v>489</v>
      </c>
      <c r="B306" s="2" t="s">
        <v>134</v>
      </c>
      <c r="C306" s="2" t="s">
        <v>16</v>
      </c>
      <c r="D306" s="2">
        <v>22</v>
      </c>
      <c r="E306" s="2" t="s">
        <v>27</v>
      </c>
      <c r="F306" s="2">
        <v>6</v>
      </c>
      <c r="G306" s="2">
        <v>43</v>
      </c>
      <c r="H306" s="2">
        <v>65</v>
      </c>
      <c r="I306" s="2">
        <v>37</v>
      </c>
      <c r="J306" s="2">
        <v>82.05</v>
      </c>
      <c r="K306" s="2" t="s">
        <v>55</v>
      </c>
      <c r="L306" s="1">
        <f t="shared" si="13"/>
        <v>48.333333333333336</v>
      </c>
      <c r="M306" s="2" t="str">
        <f t="shared" si="14"/>
        <v>Fail</v>
      </c>
      <c r="N306" s="2" t="str">
        <f t="shared" si="12"/>
        <v>High Risk</v>
      </c>
    </row>
    <row r="307" spans="1:14" x14ac:dyDescent="0.3">
      <c r="A307" s="2" t="s">
        <v>490</v>
      </c>
      <c r="B307" s="2" t="s">
        <v>138</v>
      </c>
      <c r="C307" s="2" t="s">
        <v>16</v>
      </c>
      <c r="D307" s="2">
        <v>23</v>
      </c>
      <c r="E307" s="2" t="s">
        <v>50</v>
      </c>
      <c r="F307" s="2">
        <v>4</v>
      </c>
      <c r="G307" s="2">
        <v>97</v>
      </c>
      <c r="H307" s="2">
        <v>70</v>
      </c>
      <c r="I307" s="2">
        <v>56</v>
      </c>
      <c r="J307" s="2">
        <v>80.349999999999994</v>
      </c>
      <c r="K307" s="2" t="s">
        <v>28</v>
      </c>
      <c r="L307" s="1">
        <f t="shared" si="13"/>
        <v>74.333333333333329</v>
      </c>
      <c r="M307" s="2" t="str">
        <f t="shared" si="14"/>
        <v>Pass</v>
      </c>
      <c r="N307" s="2" t="str">
        <f t="shared" si="12"/>
        <v>Stable</v>
      </c>
    </row>
    <row r="308" spans="1:14" x14ac:dyDescent="0.3">
      <c r="A308" s="2" t="s">
        <v>491</v>
      </c>
      <c r="B308" s="2" t="s">
        <v>240</v>
      </c>
      <c r="C308" s="2" t="s">
        <v>21</v>
      </c>
      <c r="D308" s="2">
        <v>19</v>
      </c>
      <c r="E308" s="2" t="s">
        <v>17</v>
      </c>
      <c r="F308" s="2">
        <v>1</v>
      </c>
      <c r="G308" s="2">
        <v>44</v>
      </c>
      <c r="H308" s="2">
        <v>88</v>
      </c>
      <c r="I308" s="2">
        <v>92</v>
      </c>
      <c r="J308" s="2">
        <v>67.39</v>
      </c>
      <c r="K308" s="2" t="s">
        <v>28</v>
      </c>
      <c r="L308" s="1">
        <f t="shared" si="13"/>
        <v>74.666666666666671</v>
      </c>
      <c r="M308" s="2" t="str">
        <f t="shared" si="14"/>
        <v>Pass</v>
      </c>
      <c r="N308" s="2" t="str">
        <f t="shared" si="12"/>
        <v>Stable</v>
      </c>
    </row>
    <row r="309" spans="1:14" x14ac:dyDescent="0.3">
      <c r="A309" s="2" t="s">
        <v>492</v>
      </c>
      <c r="B309" s="2" t="s">
        <v>59</v>
      </c>
      <c r="C309" s="2" t="s">
        <v>21</v>
      </c>
      <c r="D309" s="2">
        <v>21</v>
      </c>
      <c r="E309" s="2" t="s">
        <v>50</v>
      </c>
      <c r="F309" s="2">
        <v>6</v>
      </c>
      <c r="G309" s="2">
        <v>90</v>
      </c>
      <c r="H309" s="2">
        <v>98</v>
      </c>
      <c r="I309" s="2">
        <v>66</v>
      </c>
      <c r="J309" s="2">
        <v>78.59</v>
      </c>
      <c r="K309" s="2" t="s">
        <v>18</v>
      </c>
      <c r="L309" s="1">
        <f t="shared" si="13"/>
        <v>84.666666666666671</v>
      </c>
      <c r="M309" s="2" t="str">
        <f t="shared" si="14"/>
        <v>Pass</v>
      </c>
      <c r="N309" s="2" t="str">
        <f t="shared" si="12"/>
        <v>Stable</v>
      </c>
    </row>
    <row r="310" spans="1:14" x14ac:dyDescent="0.3">
      <c r="A310" s="2" t="s">
        <v>493</v>
      </c>
      <c r="B310" s="2" t="s">
        <v>220</v>
      </c>
      <c r="C310" s="2" t="s">
        <v>21</v>
      </c>
      <c r="D310" s="2">
        <v>19</v>
      </c>
      <c r="E310" s="2" t="s">
        <v>50</v>
      </c>
      <c r="F310" s="2">
        <v>2</v>
      </c>
      <c r="G310" s="2">
        <v>61</v>
      </c>
      <c r="H310" s="2">
        <v>76</v>
      </c>
      <c r="I310" s="2">
        <v>56</v>
      </c>
      <c r="J310" s="2">
        <v>83.68</v>
      </c>
      <c r="K310" s="2" t="s">
        <v>22</v>
      </c>
      <c r="L310" s="1">
        <f t="shared" si="13"/>
        <v>64.333333333333329</v>
      </c>
      <c r="M310" s="2" t="str">
        <f t="shared" si="14"/>
        <v>Pass</v>
      </c>
      <c r="N310" s="2" t="str">
        <f t="shared" si="12"/>
        <v>Stable</v>
      </c>
    </row>
    <row r="311" spans="1:14" x14ac:dyDescent="0.3">
      <c r="A311" s="2" t="s">
        <v>494</v>
      </c>
      <c r="B311" s="2" t="s">
        <v>451</v>
      </c>
      <c r="C311" s="2" t="s">
        <v>21</v>
      </c>
      <c r="D311" s="2">
        <v>21</v>
      </c>
      <c r="E311" s="2" t="s">
        <v>17</v>
      </c>
      <c r="F311" s="2">
        <v>5</v>
      </c>
      <c r="G311" s="2">
        <v>46</v>
      </c>
      <c r="H311" s="2">
        <v>88</v>
      </c>
      <c r="I311" s="2">
        <v>75</v>
      </c>
      <c r="J311" s="2">
        <v>78.599999999999994</v>
      </c>
      <c r="K311" s="2" t="s">
        <v>22</v>
      </c>
      <c r="L311" s="1">
        <f t="shared" si="13"/>
        <v>69.666666666666671</v>
      </c>
      <c r="M311" s="2" t="str">
        <f t="shared" si="14"/>
        <v>Pass</v>
      </c>
      <c r="N311" s="2" t="str">
        <f t="shared" si="12"/>
        <v>Stable</v>
      </c>
    </row>
    <row r="312" spans="1:14" x14ac:dyDescent="0.3">
      <c r="A312" s="2" t="s">
        <v>495</v>
      </c>
      <c r="B312" s="2" t="s">
        <v>496</v>
      </c>
      <c r="C312" s="2" t="s">
        <v>16</v>
      </c>
      <c r="D312" s="2">
        <v>21</v>
      </c>
      <c r="E312" s="2" t="s">
        <v>17</v>
      </c>
      <c r="F312" s="2">
        <v>1</v>
      </c>
      <c r="G312" s="2">
        <v>94</v>
      </c>
      <c r="H312" s="2">
        <v>85</v>
      </c>
      <c r="I312" s="2">
        <v>40</v>
      </c>
      <c r="J312" s="2">
        <v>89.75</v>
      </c>
      <c r="K312" s="2" t="s">
        <v>28</v>
      </c>
      <c r="L312" s="1">
        <f t="shared" si="13"/>
        <v>73</v>
      </c>
      <c r="M312" s="2" t="str">
        <f t="shared" si="14"/>
        <v>Pass</v>
      </c>
      <c r="N312" s="2" t="str">
        <f t="shared" si="12"/>
        <v>Stable</v>
      </c>
    </row>
    <row r="313" spans="1:14" x14ac:dyDescent="0.3">
      <c r="A313" s="2" t="s">
        <v>497</v>
      </c>
      <c r="B313" s="2" t="s">
        <v>498</v>
      </c>
      <c r="C313" s="2" t="s">
        <v>21</v>
      </c>
      <c r="D313" s="2">
        <v>18</v>
      </c>
      <c r="E313" s="2" t="s">
        <v>50</v>
      </c>
      <c r="F313" s="2">
        <v>3</v>
      </c>
      <c r="G313" s="2">
        <v>67</v>
      </c>
      <c r="H313" s="2">
        <v>43</v>
      </c>
      <c r="I313" s="2">
        <v>88</v>
      </c>
      <c r="J313" s="2">
        <v>74.790000000000006</v>
      </c>
      <c r="K313" s="2" t="s">
        <v>22</v>
      </c>
      <c r="L313" s="1">
        <f t="shared" si="13"/>
        <v>66</v>
      </c>
      <c r="M313" s="2" t="str">
        <f t="shared" si="14"/>
        <v>Pass</v>
      </c>
      <c r="N313" s="2" t="str">
        <f t="shared" si="12"/>
        <v>Stable</v>
      </c>
    </row>
    <row r="314" spans="1:14" x14ac:dyDescent="0.3">
      <c r="A314" s="2" t="s">
        <v>499</v>
      </c>
      <c r="B314" s="2" t="s">
        <v>74</v>
      </c>
      <c r="C314" s="2" t="s">
        <v>16</v>
      </c>
      <c r="D314" s="2">
        <v>18</v>
      </c>
      <c r="E314" s="2" t="s">
        <v>27</v>
      </c>
      <c r="F314" s="2">
        <v>6</v>
      </c>
      <c r="G314" s="2">
        <v>87</v>
      </c>
      <c r="H314" s="2">
        <v>88</v>
      </c>
      <c r="I314" s="2">
        <v>85</v>
      </c>
      <c r="J314" s="2">
        <v>77.64</v>
      </c>
      <c r="K314" s="2" t="s">
        <v>18</v>
      </c>
      <c r="L314" s="1">
        <f t="shared" si="13"/>
        <v>86.666666666666671</v>
      </c>
      <c r="M314" s="2" t="str">
        <f t="shared" si="14"/>
        <v>Pass</v>
      </c>
      <c r="N314" s="2" t="str">
        <f t="shared" si="12"/>
        <v>Stable</v>
      </c>
    </row>
    <row r="315" spans="1:14" x14ac:dyDescent="0.3">
      <c r="A315" s="2" t="s">
        <v>500</v>
      </c>
      <c r="B315" s="2" t="s">
        <v>426</v>
      </c>
      <c r="C315" s="2" t="s">
        <v>16</v>
      </c>
      <c r="D315" s="2">
        <v>18</v>
      </c>
      <c r="E315" s="2" t="s">
        <v>17</v>
      </c>
      <c r="F315" s="2">
        <v>2</v>
      </c>
      <c r="G315" s="2">
        <v>85</v>
      </c>
      <c r="H315" s="2">
        <v>40</v>
      </c>
      <c r="I315" s="2">
        <v>42</v>
      </c>
      <c r="J315" s="2">
        <v>73.23</v>
      </c>
      <c r="K315" s="2" t="s">
        <v>31</v>
      </c>
      <c r="L315" s="1">
        <f t="shared" si="13"/>
        <v>55.666666666666664</v>
      </c>
      <c r="M315" s="2" t="str">
        <f t="shared" si="14"/>
        <v>Pass</v>
      </c>
      <c r="N315" s="2" t="str">
        <f t="shared" si="12"/>
        <v>Monitor</v>
      </c>
    </row>
    <row r="316" spans="1:14" x14ac:dyDescent="0.3">
      <c r="A316" s="2" t="s">
        <v>501</v>
      </c>
      <c r="B316" s="2" t="s">
        <v>41</v>
      </c>
      <c r="C316" s="2" t="s">
        <v>16</v>
      </c>
      <c r="D316" s="2">
        <v>18</v>
      </c>
      <c r="E316" s="2" t="s">
        <v>34</v>
      </c>
      <c r="F316" s="2">
        <v>1</v>
      </c>
      <c r="G316" s="2">
        <v>86</v>
      </c>
      <c r="H316" s="2">
        <v>95</v>
      </c>
      <c r="I316" s="2">
        <v>47</v>
      </c>
      <c r="J316" s="2">
        <v>89.34</v>
      </c>
      <c r="K316" s="2" t="s">
        <v>28</v>
      </c>
      <c r="L316" s="1">
        <f t="shared" si="13"/>
        <v>76</v>
      </c>
      <c r="M316" s="2" t="str">
        <f t="shared" si="14"/>
        <v>Pass</v>
      </c>
      <c r="N316" s="2" t="str">
        <f t="shared" si="12"/>
        <v>Stable</v>
      </c>
    </row>
    <row r="317" spans="1:14" x14ac:dyDescent="0.3">
      <c r="A317" s="2" t="s">
        <v>502</v>
      </c>
      <c r="B317" s="2" t="s">
        <v>153</v>
      </c>
      <c r="C317" s="2" t="s">
        <v>16</v>
      </c>
      <c r="D317" s="2">
        <v>19</v>
      </c>
      <c r="E317" s="2" t="s">
        <v>34</v>
      </c>
      <c r="F317" s="2">
        <v>4</v>
      </c>
      <c r="G317" s="2">
        <v>54</v>
      </c>
      <c r="H317" s="2">
        <v>47</v>
      </c>
      <c r="I317" s="2">
        <v>75</v>
      </c>
      <c r="J317" s="2">
        <v>67.459999999999994</v>
      </c>
      <c r="K317" s="2" t="s">
        <v>31</v>
      </c>
      <c r="L317" s="1">
        <f t="shared" si="13"/>
        <v>58.666666666666664</v>
      </c>
      <c r="M317" s="2" t="str">
        <f t="shared" si="14"/>
        <v>Pass</v>
      </c>
      <c r="N317" s="2" t="str">
        <f t="shared" si="12"/>
        <v>Monitor</v>
      </c>
    </row>
    <row r="318" spans="1:14" x14ac:dyDescent="0.3">
      <c r="A318" s="2" t="s">
        <v>503</v>
      </c>
      <c r="B318" s="2" t="s">
        <v>191</v>
      </c>
      <c r="C318" s="2" t="s">
        <v>16</v>
      </c>
      <c r="D318" s="2">
        <v>23</v>
      </c>
      <c r="E318" s="2" t="s">
        <v>37</v>
      </c>
      <c r="F318" s="2">
        <v>3</v>
      </c>
      <c r="G318" s="2">
        <v>51</v>
      </c>
      <c r="H318" s="2">
        <v>73</v>
      </c>
      <c r="I318" s="2">
        <v>64</v>
      </c>
      <c r="J318" s="2">
        <v>75.97</v>
      </c>
      <c r="K318" s="2" t="s">
        <v>22</v>
      </c>
      <c r="L318" s="1">
        <f t="shared" si="13"/>
        <v>62.666666666666664</v>
      </c>
      <c r="M318" s="2" t="str">
        <f t="shared" si="14"/>
        <v>Pass</v>
      </c>
      <c r="N318" s="2" t="str">
        <f t="shared" si="12"/>
        <v>Stable</v>
      </c>
    </row>
    <row r="319" spans="1:14" x14ac:dyDescent="0.3">
      <c r="A319" s="2" t="s">
        <v>504</v>
      </c>
      <c r="B319" s="2" t="s">
        <v>329</v>
      </c>
      <c r="C319" s="2" t="s">
        <v>16</v>
      </c>
      <c r="D319" s="2">
        <v>19</v>
      </c>
      <c r="E319" s="2" t="s">
        <v>37</v>
      </c>
      <c r="F319" s="2">
        <v>6</v>
      </c>
      <c r="G319" s="2">
        <v>49</v>
      </c>
      <c r="H319" s="2">
        <v>58</v>
      </c>
      <c r="I319" s="2">
        <v>54</v>
      </c>
      <c r="J319" s="2">
        <v>81.150000000000006</v>
      </c>
      <c r="K319" s="2" t="s">
        <v>31</v>
      </c>
      <c r="L319" s="1">
        <f t="shared" si="13"/>
        <v>53.666666666666664</v>
      </c>
      <c r="M319" s="2" t="str">
        <f t="shared" si="14"/>
        <v>Pass</v>
      </c>
      <c r="N319" s="2" t="str">
        <f t="shared" si="12"/>
        <v>Monitor</v>
      </c>
    </row>
    <row r="320" spans="1:14" x14ac:dyDescent="0.3">
      <c r="A320" s="2" t="s">
        <v>505</v>
      </c>
      <c r="B320" s="2" t="s">
        <v>506</v>
      </c>
      <c r="C320" s="2" t="s">
        <v>21</v>
      </c>
      <c r="D320" s="2">
        <v>21</v>
      </c>
      <c r="E320" s="2" t="s">
        <v>34</v>
      </c>
      <c r="F320" s="2">
        <v>1</v>
      </c>
      <c r="G320" s="2">
        <v>77</v>
      </c>
      <c r="H320" s="2">
        <v>45</v>
      </c>
      <c r="I320" s="2">
        <v>42</v>
      </c>
      <c r="J320" s="2">
        <v>91.82</v>
      </c>
      <c r="K320" s="2" t="s">
        <v>31</v>
      </c>
      <c r="L320" s="1">
        <f t="shared" si="13"/>
        <v>54.666666666666664</v>
      </c>
      <c r="M320" s="2" t="str">
        <f t="shared" si="14"/>
        <v>Pass</v>
      </c>
      <c r="N320" s="2" t="str">
        <f t="shared" si="12"/>
        <v>Monitor</v>
      </c>
    </row>
    <row r="321" spans="1:14" x14ac:dyDescent="0.3">
      <c r="A321" s="2" t="s">
        <v>507</v>
      </c>
      <c r="B321" s="2" t="s">
        <v>15</v>
      </c>
      <c r="C321" s="2" t="s">
        <v>16</v>
      </c>
      <c r="D321" s="2">
        <v>19</v>
      </c>
      <c r="E321" s="2" t="s">
        <v>27</v>
      </c>
      <c r="F321" s="2">
        <v>3</v>
      </c>
      <c r="G321" s="2">
        <v>42</v>
      </c>
      <c r="H321" s="2">
        <v>52</v>
      </c>
      <c r="I321" s="2">
        <v>71</v>
      </c>
      <c r="J321" s="2">
        <v>83.05</v>
      </c>
      <c r="K321" s="2" t="s">
        <v>31</v>
      </c>
      <c r="L321" s="1">
        <f t="shared" si="13"/>
        <v>55</v>
      </c>
      <c r="M321" s="2" t="str">
        <f t="shared" si="14"/>
        <v>Pass</v>
      </c>
      <c r="N321" s="2" t="str">
        <f t="shared" si="12"/>
        <v>Monitor</v>
      </c>
    </row>
    <row r="322" spans="1:14" x14ac:dyDescent="0.3">
      <c r="A322" s="2" t="s">
        <v>508</v>
      </c>
      <c r="B322" s="2" t="s">
        <v>509</v>
      </c>
      <c r="C322" s="2" t="s">
        <v>16</v>
      </c>
      <c r="D322" s="2">
        <v>18</v>
      </c>
      <c r="E322" s="2" t="s">
        <v>27</v>
      </c>
      <c r="F322" s="2">
        <v>4</v>
      </c>
      <c r="G322" s="2">
        <v>68</v>
      </c>
      <c r="H322" s="2">
        <v>46</v>
      </c>
      <c r="I322" s="2">
        <v>55</v>
      </c>
      <c r="J322" s="2">
        <v>85.27</v>
      </c>
      <c r="K322" s="2" t="s">
        <v>31</v>
      </c>
      <c r="L322" s="1">
        <f t="shared" si="13"/>
        <v>56.333333333333336</v>
      </c>
      <c r="M322" s="2" t="str">
        <f t="shared" si="14"/>
        <v>Pass</v>
      </c>
      <c r="N322" s="2" t="str">
        <f t="shared" ref="N322:N385" si="15">_xlfn.IFS(M322="Fail", "High Risk", L322&lt;60, "Monitor", TRUE, "Stable")</f>
        <v>Monitor</v>
      </c>
    </row>
    <row r="323" spans="1:14" x14ac:dyDescent="0.3">
      <c r="A323" s="2" t="s">
        <v>510</v>
      </c>
      <c r="B323" s="2" t="s">
        <v>136</v>
      </c>
      <c r="C323" s="2" t="s">
        <v>21</v>
      </c>
      <c r="D323" s="2">
        <v>20</v>
      </c>
      <c r="E323" s="2" t="s">
        <v>34</v>
      </c>
      <c r="F323" s="2">
        <v>2</v>
      </c>
      <c r="G323" s="2">
        <v>81</v>
      </c>
      <c r="H323" s="2">
        <v>85</v>
      </c>
      <c r="I323" s="2">
        <v>82</v>
      </c>
      <c r="J323" s="2">
        <v>95.39</v>
      </c>
      <c r="K323" s="2" t="s">
        <v>18</v>
      </c>
      <c r="L323" s="1">
        <f t="shared" si="13"/>
        <v>82.666666666666671</v>
      </c>
      <c r="M323" s="2" t="str">
        <f t="shared" si="14"/>
        <v>Pass</v>
      </c>
      <c r="N323" s="2" t="str">
        <f t="shared" si="15"/>
        <v>Stable</v>
      </c>
    </row>
    <row r="324" spans="1:14" x14ac:dyDescent="0.3">
      <c r="A324" s="2" t="s">
        <v>511</v>
      </c>
      <c r="B324" s="2" t="s">
        <v>194</v>
      </c>
      <c r="C324" s="2" t="s">
        <v>21</v>
      </c>
      <c r="D324" s="2">
        <v>18</v>
      </c>
      <c r="E324" s="2" t="s">
        <v>50</v>
      </c>
      <c r="F324" s="2">
        <v>2</v>
      </c>
      <c r="G324" s="2">
        <v>79</v>
      </c>
      <c r="H324" s="2">
        <v>80</v>
      </c>
      <c r="I324" s="2">
        <v>85</v>
      </c>
      <c r="J324" s="2">
        <v>94.37</v>
      </c>
      <c r="K324" s="2" t="s">
        <v>18</v>
      </c>
      <c r="L324" s="1">
        <f t="shared" ref="L324:L387" si="16">AVERAGE(G324:I324)</f>
        <v>81.333333333333329</v>
      </c>
      <c r="M324" s="2" t="str">
        <f t="shared" ref="M324:M387" si="17">IF(OR(G324&lt;40, H324&lt;40, I324&lt;40), "Fail", "Pass")</f>
        <v>Pass</v>
      </c>
      <c r="N324" s="2" t="str">
        <f t="shared" si="15"/>
        <v>Stable</v>
      </c>
    </row>
    <row r="325" spans="1:14" x14ac:dyDescent="0.3">
      <c r="A325" s="2" t="s">
        <v>512</v>
      </c>
      <c r="B325" s="2" t="s">
        <v>279</v>
      </c>
      <c r="C325" s="2" t="s">
        <v>21</v>
      </c>
      <c r="D325" s="2">
        <v>22</v>
      </c>
      <c r="E325" s="2" t="s">
        <v>34</v>
      </c>
      <c r="F325" s="2">
        <v>5</v>
      </c>
      <c r="G325" s="2">
        <v>93</v>
      </c>
      <c r="H325" s="2">
        <v>95</v>
      </c>
      <c r="I325" s="2">
        <v>65</v>
      </c>
      <c r="J325" s="2">
        <v>96.74</v>
      </c>
      <c r="K325" s="2" t="s">
        <v>18</v>
      </c>
      <c r="L325" s="1">
        <f t="shared" si="16"/>
        <v>84.333333333333329</v>
      </c>
      <c r="M325" s="2" t="str">
        <f t="shared" si="17"/>
        <v>Pass</v>
      </c>
      <c r="N325" s="2" t="str">
        <f t="shared" si="15"/>
        <v>Stable</v>
      </c>
    </row>
    <row r="326" spans="1:14" x14ac:dyDescent="0.3">
      <c r="A326" s="2" t="s">
        <v>513</v>
      </c>
      <c r="B326" s="2" t="s">
        <v>225</v>
      </c>
      <c r="C326" s="2" t="s">
        <v>21</v>
      </c>
      <c r="D326" s="2">
        <v>20</v>
      </c>
      <c r="E326" s="2" t="s">
        <v>34</v>
      </c>
      <c r="F326" s="2">
        <v>4</v>
      </c>
      <c r="G326" s="2">
        <v>52</v>
      </c>
      <c r="H326" s="2">
        <v>49</v>
      </c>
      <c r="I326" s="2">
        <v>70</v>
      </c>
      <c r="J326" s="2">
        <v>74.91</v>
      </c>
      <c r="K326" s="2" t="s">
        <v>31</v>
      </c>
      <c r="L326" s="1">
        <f t="shared" si="16"/>
        <v>57</v>
      </c>
      <c r="M326" s="2" t="str">
        <f t="shared" si="17"/>
        <v>Pass</v>
      </c>
      <c r="N326" s="2" t="str">
        <f t="shared" si="15"/>
        <v>Monitor</v>
      </c>
    </row>
    <row r="327" spans="1:14" x14ac:dyDescent="0.3">
      <c r="A327" s="2" t="s">
        <v>514</v>
      </c>
      <c r="B327" s="2" t="s">
        <v>70</v>
      </c>
      <c r="C327" s="2" t="s">
        <v>21</v>
      </c>
      <c r="D327" s="2">
        <v>18</v>
      </c>
      <c r="E327" s="2" t="s">
        <v>37</v>
      </c>
      <c r="F327" s="2">
        <v>5</v>
      </c>
      <c r="G327" s="2">
        <v>74</v>
      </c>
      <c r="H327" s="2">
        <v>82</v>
      </c>
      <c r="I327" s="2">
        <v>42</v>
      </c>
      <c r="J327" s="2">
        <v>78.91</v>
      </c>
      <c r="K327" s="2" t="s">
        <v>22</v>
      </c>
      <c r="L327" s="1">
        <f t="shared" si="16"/>
        <v>66</v>
      </c>
      <c r="M327" s="2" t="str">
        <f t="shared" si="17"/>
        <v>Pass</v>
      </c>
      <c r="N327" s="2" t="str">
        <f t="shared" si="15"/>
        <v>Stable</v>
      </c>
    </row>
    <row r="328" spans="1:14" x14ac:dyDescent="0.3">
      <c r="A328" s="2" t="s">
        <v>515</v>
      </c>
      <c r="B328" s="2" t="s">
        <v>516</v>
      </c>
      <c r="C328" s="2" t="s">
        <v>21</v>
      </c>
      <c r="D328" s="2">
        <v>19</v>
      </c>
      <c r="E328" s="2" t="s">
        <v>50</v>
      </c>
      <c r="F328" s="2">
        <v>3</v>
      </c>
      <c r="G328" s="2">
        <v>65</v>
      </c>
      <c r="H328" s="2">
        <v>59</v>
      </c>
      <c r="I328" s="2">
        <v>96</v>
      </c>
      <c r="J328" s="2">
        <v>78.790000000000006</v>
      </c>
      <c r="K328" s="2" t="s">
        <v>28</v>
      </c>
      <c r="L328" s="1">
        <f t="shared" si="16"/>
        <v>73.333333333333329</v>
      </c>
      <c r="M328" s="2" t="str">
        <f t="shared" si="17"/>
        <v>Pass</v>
      </c>
      <c r="N328" s="2" t="str">
        <f t="shared" si="15"/>
        <v>Stable</v>
      </c>
    </row>
    <row r="329" spans="1:14" x14ac:dyDescent="0.3">
      <c r="A329" s="2" t="s">
        <v>517</v>
      </c>
      <c r="B329" s="2" t="s">
        <v>70</v>
      </c>
      <c r="C329" s="2" t="s">
        <v>16</v>
      </c>
      <c r="D329" s="2">
        <v>18</v>
      </c>
      <c r="E329" s="2" t="s">
        <v>50</v>
      </c>
      <c r="F329" s="2">
        <v>3</v>
      </c>
      <c r="G329" s="2">
        <v>50</v>
      </c>
      <c r="H329" s="2">
        <v>81</v>
      </c>
      <c r="I329" s="2">
        <v>56</v>
      </c>
      <c r="J329" s="2">
        <v>82.83</v>
      </c>
      <c r="K329" s="2" t="s">
        <v>22</v>
      </c>
      <c r="L329" s="1">
        <f t="shared" si="16"/>
        <v>62.333333333333336</v>
      </c>
      <c r="M329" s="2" t="str">
        <f t="shared" si="17"/>
        <v>Pass</v>
      </c>
      <c r="N329" s="2" t="str">
        <f t="shared" si="15"/>
        <v>Stable</v>
      </c>
    </row>
    <row r="330" spans="1:14" x14ac:dyDescent="0.3">
      <c r="A330" s="2" t="s">
        <v>518</v>
      </c>
      <c r="B330" s="2" t="s">
        <v>130</v>
      </c>
      <c r="C330" s="2" t="s">
        <v>16</v>
      </c>
      <c r="D330" s="2">
        <v>18</v>
      </c>
      <c r="E330" s="2" t="s">
        <v>37</v>
      </c>
      <c r="F330" s="2">
        <v>2</v>
      </c>
      <c r="G330" s="2">
        <v>47</v>
      </c>
      <c r="H330" s="2">
        <v>71</v>
      </c>
      <c r="I330" s="2">
        <v>73</v>
      </c>
      <c r="J330" s="2">
        <v>65.650000000000006</v>
      </c>
      <c r="K330" s="2" t="s">
        <v>22</v>
      </c>
      <c r="L330" s="1">
        <f t="shared" si="16"/>
        <v>63.666666666666664</v>
      </c>
      <c r="M330" s="2" t="str">
        <f t="shared" si="17"/>
        <v>Pass</v>
      </c>
      <c r="N330" s="2" t="str">
        <f t="shared" si="15"/>
        <v>Stable</v>
      </c>
    </row>
    <row r="331" spans="1:14" x14ac:dyDescent="0.3">
      <c r="A331" s="2" t="s">
        <v>519</v>
      </c>
      <c r="B331" s="2" t="s">
        <v>87</v>
      </c>
      <c r="C331" s="2" t="s">
        <v>16</v>
      </c>
      <c r="D331" s="2">
        <v>22</v>
      </c>
      <c r="E331" s="2" t="s">
        <v>17</v>
      </c>
      <c r="F331" s="2">
        <v>2</v>
      </c>
      <c r="G331" s="2">
        <v>100</v>
      </c>
      <c r="H331" s="2">
        <v>61</v>
      </c>
      <c r="I331" s="2">
        <v>47</v>
      </c>
      <c r="J331" s="2">
        <v>79.739999999999995</v>
      </c>
      <c r="K331" s="2" t="s">
        <v>22</v>
      </c>
      <c r="L331" s="1">
        <f t="shared" si="16"/>
        <v>69.333333333333329</v>
      </c>
      <c r="M331" s="2" t="str">
        <f t="shared" si="17"/>
        <v>Pass</v>
      </c>
      <c r="N331" s="2" t="str">
        <f t="shared" si="15"/>
        <v>Stable</v>
      </c>
    </row>
    <row r="332" spans="1:14" x14ac:dyDescent="0.3">
      <c r="A332" s="2" t="s">
        <v>520</v>
      </c>
      <c r="B332" s="2" t="s">
        <v>188</v>
      </c>
      <c r="C332" s="2" t="s">
        <v>16</v>
      </c>
      <c r="D332" s="2">
        <v>18</v>
      </c>
      <c r="E332" s="2" t="s">
        <v>27</v>
      </c>
      <c r="F332" s="2">
        <v>1</v>
      </c>
      <c r="G332" s="2">
        <v>68</v>
      </c>
      <c r="H332" s="2">
        <v>84</v>
      </c>
      <c r="I332" s="2">
        <v>54</v>
      </c>
      <c r="J332" s="2">
        <v>60.16</v>
      </c>
      <c r="K332" s="2" t="s">
        <v>22</v>
      </c>
      <c r="L332" s="1">
        <f t="shared" si="16"/>
        <v>68.666666666666671</v>
      </c>
      <c r="M332" s="2" t="str">
        <f t="shared" si="17"/>
        <v>Pass</v>
      </c>
      <c r="N332" s="2" t="str">
        <f t="shared" si="15"/>
        <v>Stable</v>
      </c>
    </row>
    <row r="333" spans="1:14" x14ac:dyDescent="0.3">
      <c r="A333" s="2" t="s">
        <v>521</v>
      </c>
      <c r="B333" s="2" t="s">
        <v>26</v>
      </c>
      <c r="C333" s="2" t="s">
        <v>21</v>
      </c>
      <c r="D333" s="2">
        <v>22</v>
      </c>
      <c r="E333" s="2" t="s">
        <v>34</v>
      </c>
      <c r="F333" s="2">
        <v>6</v>
      </c>
      <c r="G333" s="2">
        <v>83</v>
      </c>
      <c r="H333" s="2">
        <v>51</v>
      </c>
      <c r="I333" s="2">
        <v>59</v>
      </c>
      <c r="J333" s="2">
        <v>76.709999999999994</v>
      </c>
      <c r="K333" s="2" t="s">
        <v>22</v>
      </c>
      <c r="L333" s="1">
        <f t="shared" si="16"/>
        <v>64.333333333333329</v>
      </c>
      <c r="M333" s="2" t="str">
        <f t="shared" si="17"/>
        <v>Pass</v>
      </c>
      <c r="N333" s="2" t="str">
        <f t="shared" si="15"/>
        <v>Stable</v>
      </c>
    </row>
    <row r="334" spans="1:14" x14ac:dyDescent="0.3">
      <c r="A334" s="2" t="s">
        <v>522</v>
      </c>
      <c r="B334" s="2" t="s">
        <v>49</v>
      </c>
      <c r="C334" s="2" t="s">
        <v>16</v>
      </c>
      <c r="D334" s="2">
        <v>21</v>
      </c>
      <c r="E334" s="2" t="s">
        <v>34</v>
      </c>
      <c r="F334" s="2">
        <v>3</v>
      </c>
      <c r="G334" s="2">
        <v>43</v>
      </c>
      <c r="H334" s="2">
        <v>89</v>
      </c>
      <c r="I334" s="2">
        <v>48</v>
      </c>
      <c r="J334" s="2">
        <v>66.680000000000007</v>
      </c>
      <c r="K334" s="2" t="s">
        <v>22</v>
      </c>
      <c r="L334" s="1">
        <f t="shared" si="16"/>
        <v>60</v>
      </c>
      <c r="M334" s="2" t="str">
        <f t="shared" si="17"/>
        <v>Pass</v>
      </c>
      <c r="N334" s="2" t="str">
        <f t="shared" si="15"/>
        <v>Stable</v>
      </c>
    </row>
    <row r="335" spans="1:14" x14ac:dyDescent="0.3">
      <c r="A335" s="2" t="s">
        <v>523</v>
      </c>
      <c r="B335" s="2" t="s">
        <v>409</v>
      </c>
      <c r="C335" s="2" t="s">
        <v>16</v>
      </c>
      <c r="D335" s="2">
        <v>22</v>
      </c>
      <c r="E335" s="2" t="s">
        <v>50</v>
      </c>
      <c r="F335" s="2">
        <v>5</v>
      </c>
      <c r="G335" s="2">
        <v>94</v>
      </c>
      <c r="H335" s="2">
        <v>61</v>
      </c>
      <c r="I335" s="2">
        <v>55</v>
      </c>
      <c r="J335" s="2">
        <v>81.319999999999993</v>
      </c>
      <c r="K335" s="2" t="s">
        <v>28</v>
      </c>
      <c r="L335" s="1">
        <f t="shared" si="16"/>
        <v>70</v>
      </c>
      <c r="M335" s="2" t="str">
        <f t="shared" si="17"/>
        <v>Pass</v>
      </c>
      <c r="N335" s="2" t="str">
        <f t="shared" si="15"/>
        <v>Stable</v>
      </c>
    </row>
    <row r="336" spans="1:14" x14ac:dyDescent="0.3">
      <c r="A336" s="2" t="s">
        <v>524</v>
      </c>
      <c r="B336" s="2" t="s">
        <v>24</v>
      </c>
      <c r="C336" s="2" t="s">
        <v>21</v>
      </c>
      <c r="D336" s="2">
        <v>22</v>
      </c>
      <c r="E336" s="2" t="s">
        <v>50</v>
      </c>
      <c r="F336" s="2">
        <v>6</v>
      </c>
      <c r="G336" s="2">
        <v>54</v>
      </c>
      <c r="H336" s="2">
        <v>43</v>
      </c>
      <c r="I336" s="2">
        <v>72</v>
      </c>
      <c r="J336" s="2">
        <v>90.26</v>
      </c>
      <c r="K336" s="2" t="s">
        <v>31</v>
      </c>
      <c r="L336" s="1">
        <f t="shared" si="16"/>
        <v>56.333333333333336</v>
      </c>
      <c r="M336" s="2" t="str">
        <f t="shared" si="17"/>
        <v>Pass</v>
      </c>
      <c r="N336" s="2" t="str">
        <f t="shared" si="15"/>
        <v>Monitor</v>
      </c>
    </row>
    <row r="337" spans="1:14" x14ac:dyDescent="0.3">
      <c r="A337" s="2" t="s">
        <v>525</v>
      </c>
      <c r="B337" s="2" t="s">
        <v>438</v>
      </c>
      <c r="C337" s="2" t="s">
        <v>21</v>
      </c>
      <c r="D337" s="2">
        <v>23</v>
      </c>
      <c r="E337" s="2" t="s">
        <v>17</v>
      </c>
      <c r="F337" s="2">
        <v>1</v>
      </c>
      <c r="G337" s="2">
        <v>49</v>
      </c>
      <c r="H337" s="2">
        <v>47</v>
      </c>
      <c r="I337" s="2">
        <v>58</v>
      </c>
      <c r="J337" s="2">
        <v>87.24</v>
      </c>
      <c r="K337" s="2" t="s">
        <v>31</v>
      </c>
      <c r="L337" s="1">
        <f t="shared" si="16"/>
        <v>51.333333333333336</v>
      </c>
      <c r="M337" s="2" t="str">
        <f t="shared" si="17"/>
        <v>Pass</v>
      </c>
      <c r="N337" s="2" t="str">
        <f t="shared" si="15"/>
        <v>Monitor</v>
      </c>
    </row>
    <row r="338" spans="1:14" x14ac:dyDescent="0.3">
      <c r="A338" s="2" t="s">
        <v>526</v>
      </c>
      <c r="B338" s="2" t="s">
        <v>206</v>
      </c>
      <c r="C338" s="2" t="s">
        <v>16</v>
      </c>
      <c r="D338" s="2">
        <v>20</v>
      </c>
      <c r="E338" s="2" t="s">
        <v>27</v>
      </c>
      <c r="F338" s="2">
        <v>6</v>
      </c>
      <c r="G338" s="2">
        <v>71</v>
      </c>
      <c r="H338" s="2">
        <v>49</v>
      </c>
      <c r="I338" s="2">
        <v>76</v>
      </c>
      <c r="J338" s="2">
        <v>74.290000000000006</v>
      </c>
      <c r="K338" s="2" t="s">
        <v>22</v>
      </c>
      <c r="L338" s="1">
        <f t="shared" si="16"/>
        <v>65.333333333333329</v>
      </c>
      <c r="M338" s="2" t="str">
        <f t="shared" si="17"/>
        <v>Pass</v>
      </c>
      <c r="N338" s="2" t="str">
        <f t="shared" si="15"/>
        <v>Stable</v>
      </c>
    </row>
    <row r="339" spans="1:14" x14ac:dyDescent="0.3">
      <c r="A339" s="2" t="s">
        <v>527</v>
      </c>
      <c r="B339" s="2" t="s">
        <v>70</v>
      </c>
      <c r="C339" s="2" t="s">
        <v>21</v>
      </c>
      <c r="D339" s="2">
        <v>19</v>
      </c>
      <c r="E339" s="2" t="s">
        <v>37</v>
      </c>
      <c r="F339" s="2">
        <v>5</v>
      </c>
      <c r="G339" s="2">
        <v>61</v>
      </c>
      <c r="H339" s="2">
        <v>45</v>
      </c>
      <c r="I339" s="2">
        <v>85</v>
      </c>
      <c r="J339" s="2">
        <v>89.01</v>
      </c>
      <c r="K339" s="2" t="s">
        <v>22</v>
      </c>
      <c r="L339" s="1">
        <f t="shared" si="16"/>
        <v>63.666666666666664</v>
      </c>
      <c r="M339" s="2" t="str">
        <f t="shared" si="17"/>
        <v>Pass</v>
      </c>
      <c r="N339" s="2" t="str">
        <f t="shared" si="15"/>
        <v>Stable</v>
      </c>
    </row>
    <row r="340" spans="1:14" x14ac:dyDescent="0.3">
      <c r="A340" s="2" t="s">
        <v>528</v>
      </c>
      <c r="B340" s="2" t="s">
        <v>78</v>
      </c>
      <c r="C340" s="2" t="s">
        <v>21</v>
      </c>
      <c r="D340" s="2">
        <v>18</v>
      </c>
      <c r="E340" s="2" t="s">
        <v>34</v>
      </c>
      <c r="F340" s="2">
        <v>6</v>
      </c>
      <c r="G340" s="2">
        <v>97</v>
      </c>
      <c r="H340" s="2">
        <v>98</v>
      </c>
      <c r="I340" s="2">
        <v>61</v>
      </c>
      <c r="J340" s="2">
        <v>61.6</v>
      </c>
      <c r="K340" s="2" t="s">
        <v>18</v>
      </c>
      <c r="L340" s="1">
        <f t="shared" si="16"/>
        <v>85.333333333333329</v>
      </c>
      <c r="M340" s="2" t="str">
        <f t="shared" si="17"/>
        <v>Pass</v>
      </c>
      <c r="N340" s="2" t="str">
        <f t="shared" si="15"/>
        <v>Stable</v>
      </c>
    </row>
    <row r="341" spans="1:14" x14ac:dyDescent="0.3">
      <c r="A341" s="2" t="s">
        <v>529</v>
      </c>
      <c r="B341" s="2" t="s">
        <v>337</v>
      </c>
      <c r="C341" s="2" t="s">
        <v>16</v>
      </c>
      <c r="D341" s="2">
        <v>19</v>
      </c>
      <c r="E341" s="2" t="s">
        <v>27</v>
      </c>
      <c r="F341" s="2">
        <v>3</v>
      </c>
      <c r="G341" s="2">
        <v>84</v>
      </c>
      <c r="H341" s="2">
        <v>99</v>
      </c>
      <c r="I341" s="2">
        <v>66</v>
      </c>
      <c r="J341" s="2">
        <v>85.66</v>
      </c>
      <c r="K341" s="2" t="s">
        <v>18</v>
      </c>
      <c r="L341" s="1">
        <f t="shared" si="16"/>
        <v>83</v>
      </c>
      <c r="M341" s="2" t="str">
        <f t="shared" si="17"/>
        <v>Pass</v>
      </c>
      <c r="N341" s="2" t="str">
        <f t="shared" si="15"/>
        <v>Stable</v>
      </c>
    </row>
    <row r="342" spans="1:14" x14ac:dyDescent="0.3">
      <c r="A342" s="2" t="s">
        <v>530</v>
      </c>
      <c r="B342" s="2" t="s">
        <v>373</v>
      </c>
      <c r="C342" s="2" t="s">
        <v>21</v>
      </c>
      <c r="D342" s="2">
        <v>23</v>
      </c>
      <c r="E342" s="2" t="s">
        <v>50</v>
      </c>
      <c r="F342" s="2">
        <v>1</v>
      </c>
      <c r="G342" s="2">
        <v>49</v>
      </c>
      <c r="H342" s="2">
        <v>35</v>
      </c>
      <c r="I342" s="2">
        <v>58</v>
      </c>
      <c r="J342" s="2">
        <v>61.57</v>
      </c>
      <c r="K342" s="2" t="s">
        <v>55</v>
      </c>
      <c r="L342" s="1">
        <f t="shared" si="16"/>
        <v>47.333333333333336</v>
      </c>
      <c r="M342" s="2" t="str">
        <f t="shared" si="17"/>
        <v>Fail</v>
      </c>
      <c r="N342" s="2" t="str">
        <f t="shared" si="15"/>
        <v>High Risk</v>
      </c>
    </row>
    <row r="343" spans="1:14" x14ac:dyDescent="0.3">
      <c r="A343" s="2" t="s">
        <v>531</v>
      </c>
      <c r="B343" s="2" t="s">
        <v>168</v>
      </c>
      <c r="C343" s="2" t="s">
        <v>21</v>
      </c>
      <c r="D343" s="2">
        <v>22</v>
      </c>
      <c r="E343" s="2" t="s">
        <v>17</v>
      </c>
      <c r="F343" s="2">
        <v>4</v>
      </c>
      <c r="G343" s="2">
        <v>52</v>
      </c>
      <c r="H343" s="2">
        <v>90</v>
      </c>
      <c r="I343" s="2">
        <v>39</v>
      </c>
      <c r="J343" s="2">
        <v>96.03</v>
      </c>
      <c r="K343" s="2" t="s">
        <v>22</v>
      </c>
      <c r="L343" s="1">
        <f t="shared" si="16"/>
        <v>60.333333333333336</v>
      </c>
      <c r="M343" s="2" t="str">
        <f t="shared" si="17"/>
        <v>Fail</v>
      </c>
      <c r="N343" s="2" t="str">
        <f t="shared" si="15"/>
        <v>High Risk</v>
      </c>
    </row>
    <row r="344" spans="1:14" x14ac:dyDescent="0.3">
      <c r="A344" s="2" t="s">
        <v>532</v>
      </c>
      <c r="B344" s="2" t="s">
        <v>59</v>
      </c>
      <c r="C344" s="2" t="s">
        <v>21</v>
      </c>
      <c r="D344" s="2">
        <v>20</v>
      </c>
      <c r="E344" s="2" t="s">
        <v>17</v>
      </c>
      <c r="F344" s="2">
        <v>2</v>
      </c>
      <c r="G344" s="2">
        <v>88</v>
      </c>
      <c r="H344" s="2">
        <v>87</v>
      </c>
      <c r="I344" s="2">
        <v>96</v>
      </c>
      <c r="J344" s="2">
        <v>78.78</v>
      </c>
      <c r="K344" s="2" t="s">
        <v>126</v>
      </c>
      <c r="L344" s="1">
        <f t="shared" si="16"/>
        <v>90.333333333333329</v>
      </c>
      <c r="M344" s="2" t="str">
        <f t="shared" si="17"/>
        <v>Pass</v>
      </c>
      <c r="N344" s="2" t="str">
        <f t="shared" si="15"/>
        <v>Stable</v>
      </c>
    </row>
    <row r="345" spans="1:14" x14ac:dyDescent="0.3">
      <c r="A345" s="2" t="s">
        <v>533</v>
      </c>
      <c r="B345" s="2" t="s">
        <v>33</v>
      </c>
      <c r="C345" s="2" t="s">
        <v>16</v>
      </c>
      <c r="D345" s="2">
        <v>21</v>
      </c>
      <c r="E345" s="2" t="s">
        <v>34</v>
      </c>
      <c r="F345" s="2">
        <v>6</v>
      </c>
      <c r="G345" s="2">
        <v>52</v>
      </c>
      <c r="H345" s="2">
        <v>48</v>
      </c>
      <c r="I345" s="2">
        <v>91</v>
      </c>
      <c r="J345" s="2">
        <v>84.34</v>
      </c>
      <c r="K345" s="2" t="s">
        <v>22</v>
      </c>
      <c r="L345" s="1">
        <f t="shared" si="16"/>
        <v>63.666666666666664</v>
      </c>
      <c r="M345" s="2" t="str">
        <f t="shared" si="17"/>
        <v>Pass</v>
      </c>
      <c r="N345" s="2" t="str">
        <f t="shared" si="15"/>
        <v>Stable</v>
      </c>
    </row>
    <row r="346" spans="1:14" x14ac:dyDescent="0.3">
      <c r="A346" s="2" t="s">
        <v>534</v>
      </c>
      <c r="B346" s="2" t="s">
        <v>181</v>
      </c>
      <c r="C346" s="2" t="s">
        <v>21</v>
      </c>
      <c r="D346" s="2">
        <v>21</v>
      </c>
      <c r="E346" s="2" t="s">
        <v>27</v>
      </c>
      <c r="F346" s="2">
        <v>4</v>
      </c>
      <c r="G346" s="2">
        <v>74</v>
      </c>
      <c r="H346" s="2">
        <v>53</v>
      </c>
      <c r="I346" s="2">
        <v>37</v>
      </c>
      <c r="J346" s="2">
        <v>91.1</v>
      </c>
      <c r="K346" s="2" t="s">
        <v>31</v>
      </c>
      <c r="L346" s="1">
        <f t="shared" si="16"/>
        <v>54.666666666666664</v>
      </c>
      <c r="M346" s="2" t="str">
        <f t="shared" si="17"/>
        <v>Fail</v>
      </c>
      <c r="N346" s="2" t="str">
        <f t="shared" si="15"/>
        <v>High Risk</v>
      </c>
    </row>
    <row r="347" spans="1:14" x14ac:dyDescent="0.3">
      <c r="A347" s="2" t="s">
        <v>535</v>
      </c>
      <c r="B347" s="2" t="s">
        <v>320</v>
      </c>
      <c r="C347" s="2" t="s">
        <v>16</v>
      </c>
      <c r="D347" s="2">
        <v>20</v>
      </c>
      <c r="E347" s="2" t="s">
        <v>17</v>
      </c>
      <c r="F347" s="2">
        <v>3</v>
      </c>
      <c r="G347" s="2">
        <v>40</v>
      </c>
      <c r="H347" s="2">
        <v>62</v>
      </c>
      <c r="I347" s="2">
        <v>51</v>
      </c>
      <c r="J347" s="2">
        <v>75.84</v>
      </c>
      <c r="K347" s="2" t="s">
        <v>31</v>
      </c>
      <c r="L347" s="1">
        <f t="shared" si="16"/>
        <v>51</v>
      </c>
      <c r="M347" s="2" t="str">
        <f t="shared" si="17"/>
        <v>Pass</v>
      </c>
      <c r="N347" s="2" t="str">
        <f t="shared" si="15"/>
        <v>Monitor</v>
      </c>
    </row>
    <row r="348" spans="1:14" x14ac:dyDescent="0.3">
      <c r="A348" s="2" t="s">
        <v>536</v>
      </c>
      <c r="B348" s="2" t="s">
        <v>220</v>
      </c>
      <c r="C348" s="2" t="s">
        <v>16</v>
      </c>
      <c r="D348" s="2">
        <v>19</v>
      </c>
      <c r="E348" s="2" t="s">
        <v>34</v>
      </c>
      <c r="F348" s="2">
        <v>1</v>
      </c>
      <c r="G348" s="2">
        <v>100</v>
      </c>
      <c r="H348" s="2">
        <v>42</v>
      </c>
      <c r="I348" s="2">
        <v>58</v>
      </c>
      <c r="J348" s="2">
        <v>80.569999999999993</v>
      </c>
      <c r="K348" s="2" t="s">
        <v>22</v>
      </c>
      <c r="L348" s="1">
        <f t="shared" si="16"/>
        <v>66.666666666666671</v>
      </c>
      <c r="M348" s="2" t="str">
        <f t="shared" si="17"/>
        <v>Pass</v>
      </c>
      <c r="N348" s="2" t="str">
        <f t="shared" si="15"/>
        <v>Stable</v>
      </c>
    </row>
    <row r="349" spans="1:14" x14ac:dyDescent="0.3">
      <c r="A349" s="2" t="s">
        <v>537</v>
      </c>
      <c r="B349" s="2" t="s">
        <v>326</v>
      </c>
      <c r="C349" s="2" t="s">
        <v>21</v>
      </c>
      <c r="D349" s="2">
        <v>19</v>
      </c>
      <c r="E349" s="2" t="s">
        <v>50</v>
      </c>
      <c r="F349" s="2">
        <v>2</v>
      </c>
      <c r="G349" s="2">
        <v>100</v>
      </c>
      <c r="H349" s="2">
        <v>61</v>
      </c>
      <c r="I349" s="2">
        <v>56</v>
      </c>
      <c r="J349" s="2">
        <v>63.91</v>
      </c>
      <c r="K349" s="2" t="s">
        <v>28</v>
      </c>
      <c r="L349" s="1">
        <f t="shared" si="16"/>
        <v>72.333333333333329</v>
      </c>
      <c r="M349" s="2" t="str">
        <f t="shared" si="17"/>
        <v>Pass</v>
      </c>
      <c r="N349" s="2" t="str">
        <f t="shared" si="15"/>
        <v>Stable</v>
      </c>
    </row>
    <row r="350" spans="1:14" x14ac:dyDescent="0.3">
      <c r="A350" s="2" t="s">
        <v>538</v>
      </c>
      <c r="B350" s="2" t="s">
        <v>320</v>
      </c>
      <c r="C350" s="2" t="s">
        <v>21</v>
      </c>
      <c r="D350" s="2">
        <v>18</v>
      </c>
      <c r="E350" s="2" t="s">
        <v>34</v>
      </c>
      <c r="F350" s="2">
        <v>3</v>
      </c>
      <c r="G350" s="2">
        <v>51</v>
      </c>
      <c r="H350" s="2">
        <v>65</v>
      </c>
      <c r="I350" s="2">
        <v>62</v>
      </c>
      <c r="J350" s="2">
        <v>81.319999999999993</v>
      </c>
      <c r="K350" s="2" t="s">
        <v>31</v>
      </c>
      <c r="L350" s="1">
        <f t="shared" si="16"/>
        <v>59.333333333333336</v>
      </c>
      <c r="M350" s="2" t="str">
        <f t="shared" si="17"/>
        <v>Pass</v>
      </c>
      <c r="N350" s="2" t="str">
        <f t="shared" si="15"/>
        <v>Monitor</v>
      </c>
    </row>
    <row r="351" spans="1:14" x14ac:dyDescent="0.3">
      <c r="A351" s="2" t="s">
        <v>539</v>
      </c>
      <c r="B351" s="2" t="s">
        <v>540</v>
      </c>
      <c r="C351" s="2" t="s">
        <v>21</v>
      </c>
      <c r="D351" s="2">
        <v>23</v>
      </c>
      <c r="E351" s="2" t="s">
        <v>27</v>
      </c>
      <c r="F351" s="2">
        <v>6</v>
      </c>
      <c r="G351" s="2">
        <v>49</v>
      </c>
      <c r="H351" s="2">
        <v>56</v>
      </c>
      <c r="I351" s="2">
        <v>38</v>
      </c>
      <c r="J351" s="2">
        <v>61.52</v>
      </c>
      <c r="K351" s="2" t="s">
        <v>55</v>
      </c>
      <c r="L351" s="1">
        <f t="shared" si="16"/>
        <v>47.666666666666664</v>
      </c>
      <c r="M351" s="2" t="str">
        <f t="shared" si="17"/>
        <v>Fail</v>
      </c>
      <c r="N351" s="2" t="str">
        <f t="shared" si="15"/>
        <v>High Risk</v>
      </c>
    </row>
    <row r="352" spans="1:14" x14ac:dyDescent="0.3">
      <c r="A352" s="2" t="s">
        <v>541</v>
      </c>
      <c r="B352" s="2" t="s">
        <v>542</v>
      </c>
      <c r="C352" s="2" t="s">
        <v>16</v>
      </c>
      <c r="D352" s="2">
        <v>21</v>
      </c>
      <c r="E352" s="2" t="s">
        <v>34</v>
      </c>
      <c r="F352" s="2">
        <v>3</v>
      </c>
      <c r="G352" s="2">
        <v>45</v>
      </c>
      <c r="H352" s="2">
        <v>80</v>
      </c>
      <c r="I352" s="2">
        <v>43</v>
      </c>
      <c r="J352" s="2">
        <v>81.239999999999995</v>
      </c>
      <c r="K352" s="2" t="s">
        <v>31</v>
      </c>
      <c r="L352" s="1">
        <f t="shared" si="16"/>
        <v>56</v>
      </c>
      <c r="M352" s="2" t="str">
        <f t="shared" si="17"/>
        <v>Pass</v>
      </c>
      <c r="N352" s="2" t="str">
        <f t="shared" si="15"/>
        <v>Monitor</v>
      </c>
    </row>
    <row r="353" spans="1:14" x14ac:dyDescent="0.3">
      <c r="A353" s="2" t="s">
        <v>543</v>
      </c>
      <c r="B353" s="2" t="s">
        <v>376</v>
      </c>
      <c r="C353" s="2" t="s">
        <v>21</v>
      </c>
      <c r="D353" s="2">
        <v>20</v>
      </c>
      <c r="E353" s="2" t="s">
        <v>50</v>
      </c>
      <c r="F353" s="2">
        <v>3</v>
      </c>
      <c r="G353" s="2">
        <v>76</v>
      </c>
      <c r="H353" s="2">
        <v>72</v>
      </c>
      <c r="I353" s="2">
        <v>77</v>
      </c>
      <c r="J353" s="2">
        <v>76.56</v>
      </c>
      <c r="K353" s="2" t="s">
        <v>28</v>
      </c>
      <c r="L353" s="1">
        <f t="shared" si="16"/>
        <v>75</v>
      </c>
      <c r="M353" s="2" t="str">
        <f t="shared" si="17"/>
        <v>Pass</v>
      </c>
      <c r="N353" s="2" t="str">
        <f t="shared" si="15"/>
        <v>Stable</v>
      </c>
    </row>
    <row r="354" spans="1:14" x14ac:dyDescent="0.3">
      <c r="A354" s="2" t="s">
        <v>544</v>
      </c>
      <c r="B354" s="2" t="s">
        <v>111</v>
      </c>
      <c r="C354" s="2" t="s">
        <v>21</v>
      </c>
      <c r="D354" s="2">
        <v>21</v>
      </c>
      <c r="E354" s="2" t="s">
        <v>37</v>
      </c>
      <c r="F354" s="2">
        <v>5</v>
      </c>
      <c r="G354" s="2">
        <v>48</v>
      </c>
      <c r="H354" s="2">
        <v>84</v>
      </c>
      <c r="I354" s="2">
        <v>95</v>
      </c>
      <c r="J354" s="2">
        <v>65.53</v>
      </c>
      <c r="K354" s="2" t="s">
        <v>28</v>
      </c>
      <c r="L354" s="1">
        <f t="shared" si="16"/>
        <v>75.666666666666671</v>
      </c>
      <c r="M354" s="2" t="str">
        <f t="shared" si="17"/>
        <v>Pass</v>
      </c>
      <c r="N354" s="2" t="str">
        <f t="shared" si="15"/>
        <v>Stable</v>
      </c>
    </row>
    <row r="355" spans="1:14" x14ac:dyDescent="0.3">
      <c r="A355" s="2" t="s">
        <v>545</v>
      </c>
      <c r="B355" s="2" t="s">
        <v>293</v>
      </c>
      <c r="C355" s="2" t="s">
        <v>16</v>
      </c>
      <c r="D355" s="2">
        <v>18</v>
      </c>
      <c r="E355" s="2" t="s">
        <v>27</v>
      </c>
      <c r="F355" s="2">
        <v>6</v>
      </c>
      <c r="G355" s="2">
        <v>51</v>
      </c>
      <c r="H355" s="2">
        <v>74</v>
      </c>
      <c r="I355" s="2">
        <v>94</v>
      </c>
      <c r="J355" s="2">
        <v>80.2</v>
      </c>
      <c r="K355" s="2" t="s">
        <v>28</v>
      </c>
      <c r="L355" s="1">
        <f t="shared" si="16"/>
        <v>73</v>
      </c>
      <c r="M355" s="2" t="str">
        <f t="shared" si="17"/>
        <v>Pass</v>
      </c>
      <c r="N355" s="2" t="str">
        <f t="shared" si="15"/>
        <v>Stable</v>
      </c>
    </row>
    <row r="356" spans="1:14" x14ac:dyDescent="0.3">
      <c r="A356" s="2" t="s">
        <v>546</v>
      </c>
      <c r="B356" s="2" t="s">
        <v>62</v>
      </c>
      <c r="C356" s="2" t="s">
        <v>16</v>
      </c>
      <c r="D356" s="2">
        <v>22</v>
      </c>
      <c r="E356" s="2" t="s">
        <v>34</v>
      </c>
      <c r="F356" s="2">
        <v>1</v>
      </c>
      <c r="G356" s="2">
        <v>77</v>
      </c>
      <c r="H356" s="2">
        <v>74</v>
      </c>
      <c r="I356" s="2">
        <v>93</v>
      </c>
      <c r="J356" s="2">
        <v>99.55</v>
      </c>
      <c r="K356" s="2" t="s">
        <v>18</v>
      </c>
      <c r="L356" s="1">
        <f t="shared" si="16"/>
        <v>81.333333333333329</v>
      </c>
      <c r="M356" s="2" t="str">
        <f t="shared" si="17"/>
        <v>Pass</v>
      </c>
      <c r="N356" s="2" t="str">
        <f t="shared" si="15"/>
        <v>Stable</v>
      </c>
    </row>
    <row r="357" spans="1:14" x14ac:dyDescent="0.3">
      <c r="A357" s="2" t="s">
        <v>547</v>
      </c>
      <c r="B357" s="2" t="s">
        <v>172</v>
      </c>
      <c r="C357" s="2" t="s">
        <v>21</v>
      </c>
      <c r="D357" s="2">
        <v>23</v>
      </c>
      <c r="E357" s="2" t="s">
        <v>17</v>
      </c>
      <c r="F357" s="2">
        <v>3</v>
      </c>
      <c r="G357" s="2">
        <v>43</v>
      </c>
      <c r="H357" s="2">
        <v>84</v>
      </c>
      <c r="I357" s="2">
        <v>68</v>
      </c>
      <c r="J357" s="2">
        <v>87.55</v>
      </c>
      <c r="K357" s="2" t="s">
        <v>22</v>
      </c>
      <c r="L357" s="1">
        <f t="shared" si="16"/>
        <v>65</v>
      </c>
      <c r="M357" s="2" t="str">
        <f t="shared" si="17"/>
        <v>Pass</v>
      </c>
      <c r="N357" s="2" t="str">
        <f t="shared" si="15"/>
        <v>Stable</v>
      </c>
    </row>
    <row r="358" spans="1:14" x14ac:dyDescent="0.3">
      <c r="A358" s="2" t="s">
        <v>548</v>
      </c>
      <c r="B358" s="2" t="s">
        <v>451</v>
      </c>
      <c r="C358" s="2" t="s">
        <v>21</v>
      </c>
      <c r="D358" s="2">
        <v>22</v>
      </c>
      <c r="E358" s="2" t="s">
        <v>34</v>
      </c>
      <c r="F358" s="2">
        <v>6</v>
      </c>
      <c r="G358" s="2">
        <v>46</v>
      </c>
      <c r="H358" s="2">
        <v>87</v>
      </c>
      <c r="I358" s="2">
        <v>74</v>
      </c>
      <c r="J358" s="2">
        <v>63.1</v>
      </c>
      <c r="K358" s="2" t="s">
        <v>22</v>
      </c>
      <c r="L358" s="1">
        <f t="shared" si="16"/>
        <v>69</v>
      </c>
      <c r="M358" s="2" t="str">
        <f t="shared" si="17"/>
        <v>Pass</v>
      </c>
      <c r="N358" s="2" t="str">
        <f t="shared" si="15"/>
        <v>Stable</v>
      </c>
    </row>
    <row r="359" spans="1:14" x14ac:dyDescent="0.3">
      <c r="A359" s="2" t="s">
        <v>549</v>
      </c>
      <c r="B359" s="2" t="s">
        <v>390</v>
      </c>
      <c r="C359" s="2" t="s">
        <v>21</v>
      </c>
      <c r="D359" s="2">
        <v>21</v>
      </c>
      <c r="E359" s="2" t="s">
        <v>17</v>
      </c>
      <c r="F359" s="2">
        <v>4</v>
      </c>
      <c r="G359" s="2">
        <v>59</v>
      </c>
      <c r="H359" s="2">
        <v>99</v>
      </c>
      <c r="I359" s="2">
        <v>35</v>
      </c>
      <c r="J359" s="2">
        <v>87.73</v>
      </c>
      <c r="K359" s="2" t="s">
        <v>22</v>
      </c>
      <c r="L359" s="1">
        <f t="shared" si="16"/>
        <v>64.333333333333329</v>
      </c>
      <c r="M359" s="2" t="str">
        <f t="shared" si="17"/>
        <v>Fail</v>
      </c>
      <c r="N359" s="2" t="str">
        <f t="shared" si="15"/>
        <v>High Risk</v>
      </c>
    </row>
    <row r="360" spans="1:14" x14ac:dyDescent="0.3">
      <c r="A360" s="2" t="s">
        <v>550</v>
      </c>
      <c r="B360" s="2" t="s">
        <v>551</v>
      </c>
      <c r="C360" s="2" t="s">
        <v>21</v>
      </c>
      <c r="D360" s="2">
        <v>19</v>
      </c>
      <c r="E360" s="2" t="s">
        <v>50</v>
      </c>
      <c r="F360" s="2">
        <v>4</v>
      </c>
      <c r="G360" s="2">
        <v>50</v>
      </c>
      <c r="H360" s="2">
        <v>49</v>
      </c>
      <c r="I360" s="2">
        <v>87</v>
      </c>
      <c r="J360" s="2">
        <v>70.97</v>
      </c>
      <c r="K360" s="2" t="s">
        <v>22</v>
      </c>
      <c r="L360" s="1">
        <f t="shared" si="16"/>
        <v>62</v>
      </c>
      <c r="M360" s="2" t="str">
        <f t="shared" si="17"/>
        <v>Pass</v>
      </c>
      <c r="N360" s="2" t="str">
        <f t="shared" si="15"/>
        <v>Stable</v>
      </c>
    </row>
    <row r="361" spans="1:14" x14ac:dyDescent="0.3">
      <c r="A361" s="2" t="s">
        <v>552</v>
      </c>
      <c r="B361" s="2" t="s">
        <v>68</v>
      </c>
      <c r="C361" s="2" t="s">
        <v>21</v>
      </c>
      <c r="D361" s="2">
        <v>22</v>
      </c>
      <c r="E361" s="2" t="s">
        <v>34</v>
      </c>
      <c r="F361" s="2">
        <v>4</v>
      </c>
      <c r="G361" s="2">
        <v>42</v>
      </c>
      <c r="H361" s="2">
        <v>74</v>
      </c>
      <c r="I361" s="2">
        <v>53</v>
      </c>
      <c r="J361" s="2">
        <v>98.21</v>
      </c>
      <c r="K361" s="2" t="s">
        <v>31</v>
      </c>
      <c r="L361" s="1">
        <f t="shared" si="16"/>
        <v>56.333333333333336</v>
      </c>
      <c r="M361" s="2" t="str">
        <f t="shared" si="17"/>
        <v>Pass</v>
      </c>
      <c r="N361" s="2" t="str">
        <f t="shared" si="15"/>
        <v>Monitor</v>
      </c>
    </row>
    <row r="362" spans="1:14" x14ac:dyDescent="0.3">
      <c r="A362" s="2" t="s">
        <v>553</v>
      </c>
      <c r="B362" s="2" t="s">
        <v>234</v>
      </c>
      <c r="C362" s="2" t="s">
        <v>16</v>
      </c>
      <c r="D362" s="2">
        <v>22</v>
      </c>
      <c r="E362" s="2" t="s">
        <v>17</v>
      </c>
      <c r="F362" s="2">
        <v>1</v>
      </c>
      <c r="G362" s="2">
        <v>54</v>
      </c>
      <c r="H362" s="2">
        <v>40</v>
      </c>
      <c r="I362" s="2">
        <v>87</v>
      </c>
      <c r="J362" s="2">
        <v>86.41</v>
      </c>
      <c r="K362" s="2" t="s">
        <v>22</v>
      </c>
      <c r="L362" s="1">
        <f t="shared" si="16"/>
        <v>60.333333333333336</v>
      </c>
      <c r="M362" s="2" t="str">
        <f t="shared" si="17"/>
        <v>Pass</v>
      </c>
      <c r="N362" s="2" t="str">
        <f t="shared" si="15"/>
        <v>Stable</v>
      </c>
    </row>
    <row r="363" spans="1:14" x14ac:dyDescent="0.3">
      <c r="A363" s="2" t="s">
        <v>554</v>
      </c>
      <c r="B363" s="2" t="s">
        <v>555</v>
      </c>
      <c r="C363" s="2" t="s">
        <v>16</v>
      </c>
      <c r="D363" s="2">
        <v>23</v>
      </c>
      <c r="E363" s="2" t="s">
        <v>37</v>
      </c>
      <c r="F363" s="2">
        <v>6</v>
      </c>
      <c r="G363" s="2">
        <v>48</v>
      </c>
      <c r="H363" s="2">
        <v>55</v>
      </c>
      <c r="I363" s="2">
        <v>82</v>
      </c>
      <c r="J363" s="2">
        <v>75.930000000000007</v>
      </c>
      <c r="K363" s="2" t="s">
        <v>22</v>
      </c>
      <c r="L363" s="1">
        <f t="shared" si="16"/>
        <v>61.666666666666664</v>
      </c>
      <c r="M363" s="2" t="str">
        <f t="shared" si="17"/>
        <v>Pass</v>
      </c>
      <c r="N363" s="2" t="str">
        <f t="shared" si="15"/>
        <v>Stable</v>
      </c>
    </row>
    <row r="364" spans="1:14" x14ac:dyDescent="0.3">
      <c r="A364" s="2" t="s">
        <v>556</v>
      </c>
      <c r="B364" s="2" t="s">
        <v>232</v>
      </c>
      <c r="C364" s="2" t="s">
        <v>21</v>
      </c>
      <c r="D364" s="2">
        <v>20</v>
      </c>
      <c r="E364" s="2" t="s">
        <v>34</v>
      </c>
      <c r="F364" s="2">
        <v>2</v>
      </c>
      <c r="G364" s="2">
        <v>77</v>
      </c>
      <c r="H364" s="2">
        <v>38</v>
      </c>
      <c r="I364" s="2">
        <v>53</v>
      </c>
      <c r="J364" s="2">
        <v>70.59</v>
      </c>
      <c r="K364" s="2" t="s">
        <v>31</v>
      </c>
      <c r="L364" s="1">
        <f t="shared" si="16"/>
        <v>56</v>
      </c>
      <c r="M364" s="2" t="str">
        <f t="shared" si="17"/>
        <v>Fail</v>
      </c>
      <c r="N364" s="2" t="str">
        <f t="shared" si="15"/>
        <v>High Risk</v>
      </c>
    </row>
    <row r="365" spans="1:14" x14ac:dyDescent="0.3">
      <c r="A365" s="2" t="s">
        <v>557</v>
      </c>
      <c r="B365" s="2" t="s">
        <v>74</v>
      </c>
      <c r="C365" s="2" t="s">
        <v>21</v>
      </c>
      <c r="D365" s="2">
        <v>22</v>
      </c>
      <c r="E365" s="2" t="s">
        <v>37</v>
      </c>
      <c r="F365" s="2">
        <v>6</v>
      </c>
      <c r="G365" s="2">
        <v>72</v>
      </c>
      <c r="H365" s="2">
        <v>96</v>
      </c>
      <c r="I365" s="2">
        <v>77</v>
      </c>
      <c r="J365" s="2">
        <v>98.83</v>
      </c>
      <c r="K365" s="2" t="s">
        <v>18</v>
      </c>
      <c r="L365" s="1">
        <f t="shared" si="16"/>
        <v>81.666666666666671</v>
      </c>
      <c r="M365" s="2" t="str">
        <f t="shared" si="17"/>
        <v>Pass</v>
      </c>
      <c r="N365" s="2" t="str">
        <f t="shared" si="15"/>
        <v>Stable</v>
      </c>
    </row>
    <row r="366" spans="1:14" x14ac:dyDescent="0.3">
      <c r="A366" s="2" t="s">
        <v>558</v>
      </c>
      <c r="B366" s="2" t="s">
        <v>194</v>
      </c>
      <c r="C366" s="2" t="s">
        <v>16</v>
      </c>
      <c r="D366" s="2">
        <v>23</v>
      </c>
      <c r="E366" s="2" t="s">
        <v>17</v>
      </c>
      <c r="F366" s="2">
        <v>3</v>
      </c>
      <c r="G366" s="2">
        <v>65</v>
      </c>
      <c r="H366" s="2">
        <v>61</v>
      </c>
      <c r="I366" s="2">
        <v>74</v>
      </c>
      <c r="J366" s="2">
        <v>77.61</v>
      </c>
      <c r="K366" s="2" t="s">
        <v>22</v>
      </c>
      <c r="L366" s="1">
        <f t="shared" si="16"/>
        <v>66.666666666666671</v>
      </c>
      <c r="M366" s="2" t="str">
        <f t="shared" si="17"/>
        <v>Pass</v>
      </c>
      <c r="N366" s="2" t="str">
        <f t="shared" si="15"/>
        <v>Stable</v>
      </c>
    </row>
    <row r="367" spans="1:14" x14ac:dyDescent="0.3">
      <c r="A367" s="2" t="s">
        <v>559</v>
      </c>
      <c r="B367" s="2" t="s">
        <v>560</v>
      </c>
      <c r="C367" s="2" t="s">
        <v>16</v>
      </c>
      <c r="D367" s="2">
        <v>22</v>
      </c>
      <c r="E367" s="2" t="s">
        <v>37</v>
      </c>
      <c r="F367" s="2">
        <v>4</v>
      </c>
      <c r="G367" s="2">
        <v>71</v>
      </c>
      <c r="H367" s="2">
        <v>63</v>
      </c>
      <c r="I367" s="2">
        <v>64</v>
      </c>
      <c r="J367" s="2">
        <v>72.61</v>
      </c>
      <c r="K367" s="2" t="s">
        <v>22</v>
      </c>
      <c r="L367" s="1">
        <f t="shared" si="16"/>
        <v>66</v>
      </c>
      <c r="M367" s="2" t="str">
        <f t="shared" si="17"/>
        <v>Pass</v>
      </c>
      <c r="N367" s="2" t="str">
        <f t="shared" si="15"/>
        <v>Stable</v>
      </c>
    </row>
    <row r="368" spans="1:14" x14ac:dyDescent="0.3">
      <c r="A368" s="2" t="s">
        <v>561</v>
      </c>
      <c r="B368" s="2" t="s">
        <v>291</v>
      </c>
      <c r="C368" s="2" t="s">
        <v>16</v>
      </c>
      <c r="D368" s="2">
        <v>22</v>
      </c>
      <c r="E368" s="2" t="s">
        <v>50</v>
      </c>
      <c r="F368" s="2">
        <v>6</v>
      </c>
      <c r="G368" s="2">
        <v>39</v>
      </c>
      <c r="H368" s="2">
        <v>99</v>
      </c>
      <c r="I368" s="2">
        <v>75</v>
      </c>
      <c r="J368" s="2">
        <v>91.67</v>
      </c>
      <c r="K368" s="2" t="s">
        <v>28</v>
      </c>
      <c r="L368" s="1">
        <f t="shared" si="16"/>
        <v>71</v>
      </c>
      <c r="M368" s="2" t="str">
        <f t="shared" si="17"/>
        <v>Fail</v>
      </c>
      <c r="N368" s="2" t="str">
        <f t="shared" si="15"/>
        <v>High Risk</v>
      </c>
    </row>
    <row r="369" spans="1:14" x14ac:dyDescent="0.3">
      <c r="A369" s="2" t="s">
        <v>562</v>
      </c>
      <c r="B369" s="2" t="s">
        <v>563</v>
      </c>
      <c r="C369" s="2" t="s">
        <v>21</v>
      </c>
      <c r="D369" s="2">
        <v>23</v>
      </c>
      <c r="E369" s="2" t="s">
        <v>37</v>
      </c>
      <c r="F369" s="2">
        <v>6</v>
      </c>
      <c r="G369" s="2">
        <v>67</v>
      </c>
      <c r="H369" s="2">
        <v>63</v>
      </c>
      <c r="I369" s="2">
        <v>97</v>
      </c>
      <c r="J369" s="2">
        <v>82.69</v>
      </c>
      <c r="K369" s="2" t="s">
        <v>28</v>
      </c>
      <c r="L369" s="1">
        <f t="shared" si="16"/>
        <v>75.666666666666671</v>
      </c>
      <c r="M369" s="2" t="str">
        <f t="shared" si="17"/>
        <v>Pass</v>
      </c>
      <c r="N369" s="2" t="str">
        <f t="shared" si="15"/>
        <v>Stable</v>
      </c>
    </row>
    <row r="370" spans="1:14" x14ac:dyDescent="0.3">
      <c r="A370" s="2" t="s">
        <v>564</v>
      </c>
      <c r="B370" s="2" t="s">
        <v>100</v>
      </c>
      <c r="C370" s="2" t="s">
        <v>16</v>
      </c>
      <c r="D370" s="2">
        <v>19</v>
      </c>
      <c r="E370" s="2" t="s">
        <v>27</v>
      </c>
      <c r="F370" s="2">
        <v>4</v>
      </c>
      <c r="G370" s="2">
        <v>68</v>
      </c>
      <c r="H370" s="2">
        <v>77</v>
      </c>
      <c r="I370" s="2">
        <v>63</v>
      </c>
      <c r="J370" s="2">
        <v>91.15</v>
      </c>
      <c r="K370" s="2" t="s">
        <v>22</v>
      </c>
      <c r="L370" s="1">
        <f t="shared" si="16"/>
        <v>69.333333333333329</v>
      </c>
      <c r="M370" s="2" t="str">
        <f t="shared" si="17"/>
        <v>Pass</v>
      </c>
      <c r="N370" s="2" t="str">
        <f t="shared" si="15"/>
        <v>Stable</v>
      </c>
    </row>
    <row r="371" spans="1:14" x14ac:dyDescent="0.3">
      <c r="A371" s="2" t="s">
        <v>565</v>
      </c>
      <c r="B371" s="2" t="s">
        <v>74</v>
      </c>
      <c r="C371" s="2" t="s">
        <v>21</v>
      </c>
      <c r="D371" s="2">
        <v>22</v>
      </c>
      <c r="E371" s="2" t="s">
        <v>17</v>
      </c>
      <c r="F371" s="2">
        <v>6</v>
      </c>
      <c r="G371" s="2">
        <v>78</v>
      </c>
      <c r="H371" s="2">
        <v>70</v>
      </c>
      <c r="I371" s="2">
        <v>62</v>
      </c>
      <c r="J371" s="2">
        <v>98.59</v>
      </c>
      <c r="K371" s="2" t="s">
        <v>28</v>
      </c>
      <c r="L371" s="1">
        <f t="shared" si="16"/>
        <v>70</v>
      </c>
      <c r="M371" s="2" t="str">
        <f t="shared" si="17"/>
        <v>Pass</v>
      </c>
      <c r="N371" s="2" t="str">
        <f t="shared" si="15"/>
        <v>Stable</v>
      </c>
    </row>
    <row r="372" spans="1:14" x14ac:dyDescent="0.3">
      <c r="A372" s="2" t="s">
        <v>566</v>
      </c>
      <c r="B372" s="2" t="s">
        <v>382</v>
      </c>
      <c r="C372" s="2" t="s">
        <v>16</v>
      </c>
      <c r="D372" s="2">
        <v>21</v>
      </c>
      <c r="E372" s="2" t="s">
        <v>37</v>
      </c>
      <c r="F372" s="2">
        <v>1</v>
      </c>
      <c r="G372" s="2">
        <v>100</v>
      </c>
      <c r="H372" s="2">
        <v>82</v>
      </c>
      <c r="I372" s="2">
        <v>81</v>
      </c>
      <c r="J372" s="2">
        <v>66.41</v>
      </c>
      <c r="K372" s="2" t="s">
        <v>18</v>
      </c>
      <c r="L372" s="1">
        <f t="shared" si="16"/>
        <v>87.666666666666671</v>
      </c>
      <c r="M372" s="2" t="str">
        <f t="shared" si="17"/>
        <v>Pass</v>
      </c>
      <c r="N372" s="2" t="str">
        <f t="shared" si="15"/>
        <v>Stable</v>
      </c>
    </row>
    <row r="373" spans="1:14" x14ac:dyDescent="0.3">
      <c r="A373" s="2" t="s">
        <v>567</v>
      </c>
      <c r="B373" s="2" t="s">
        <v>33</v>
      </c>
      <c r="C373" s="2" t="s">
        <v>21</v>
      </c>
      <c r="D373" s="2">
        <v>22</v>
      </c>
      <c r="E373" s="2" t="s">
        <v>27</v>
      </c>
      <c r="F373" s="2">
        <v>2</v>
      </c>
      <c r="G373" s="2">
        <v>82</v>
      </c>
      <c r="H373" s="2">
        <v>58</v>
      </c>
      <c r="I373" s="2">
        <v>90</v>
      </c>
      <c r="J373" s="2">
        <v>91.98</v>
      </c>
      <c r="K373" s="2" t="s">
        <v>28</v>
      </c>
      <c r="L373" s="1">
        <f t="shared" si="16"/>
        <v>76.666666666666671</v>
      </c>
      <c r="M373" s="2" t="str">
        <f t="shared" si="17"/>
        <v>Pass</v>
      </c>
      <c r="N373" s="2" t="str">
        <f t="shared" si="15"/>
        <v>Stable</v>
      </c>
    </row>
    <row r="374" spans="1:14" x14ac:dyDescent="0.3">
      <c r="A374" s="2" t="s">
        <v>568</v>
      </c>
      <c r="B374" s="2" t="s">
        <v>331</v>
      </c>
      <c r="C374" s="2" t="s">
        <v>16</v>
      </c>
      <c r="D374" s="2">
        <v>21</v>
      </c>
      <c r="E374" s="2" t="s">
        <v>34</v>
      </c>
      <c r="F374" s="2">
        <v>5</v>
      </c>
      <c r="G374" s="2">
        <v>95</v>
      </c>
      <c r="H374" s="2">
        <v>62</v>
      </c>
      <c r="I374" s="2">
        <v>72</v>
      </c>
      <c r="J374" s="2">
        <v>74.099999999999994</v>
      </c>
      <c r="K374" s="2" t="s">
        <v>28</v>
      </c>
      <c r="L374" s="1">
        <f t="shared" si="16"/>
        <v>76.333333333333329</v>
      </c>
      <c r="M374" s="2" t="str">
        <f t="shared" si="17"/>
        <v>Pass</v>
      </c>
      <c r="N374" s="2" t="str">
        <f t="shared" si="15"/>
        <v>Stable</v>
      </c>
    </row>
    <row r="375" spans="1:14" x14ac:dyDescent="0.3">
      <c r="A375" s="2" t="s">
        <v>569</v>
      </c>
      <c r="B375" s="2" t="s">
        <v>570</v>
      </c>
      <c r="C375" s="2" t="s">
        <v>16</v>
      </c>
      <c r="D375" s="2">
        <v>20</v>
      </c>
      <c r="E375" s="2" t="s">
        <v>27</v>
      </c>
      <c r="F375" s="2">
        <v>3</v>
      </c>
      <c r="G375" s="2">
        <v>61</v>
      </c>
      <c r="H375" s="2">
        <v>40</v>
      </c>
      <c r="I375" s="2">
        <v>58</v>
      </c>
      <c r="J375" s="2">
        <v>98.83</v>
      </c>
      <c r="K375" s="2" t="s">
        <v>31</v>
      </c>
      <c r="L375" s="1">
        <f t="shared" si="16"/>
        <v>53</v>
      </c>
      <c r="M375" s="2" t="str">
        <f t="shared" si="17"/>
        <v>Pass</v>
      </c>
      <c r="N375" s="2" t="str">
        <f t="shared" si="15"/>
        <v>Monitor</v>
      </c>
    </row>
    <row r="376" spans="1:14" x14ac:dyDescent="0.3">
      <c r="A376" s="2" t="s">
        <v>571</v>
      </c>
      <c r="B376" s="2" t="s">
        <v>572</v>
      </c>
      <c r="C376" s="2" t="s">
        <v>21</v>
      </c>
      <c r="D376" s="2">
        <v>21</v>
      </c>
      <c r="E376" s="2" t="s">
        <v>37</v>
      </c>
      <c r="F376" s="2">
        <v>6</v>
      </c>
      <c r="G376" s="2">
        <v>87</v>
      </c>
      <c r="H376" s="2">
        <v>69</v>
      </c>
      <c r="I376" s="2">
        <v>38</v>
      </c>
      <c r="J376" s="2">
        <v>75.78</v>
      </c>
      <c r="K376" s="2" t="s">
        <v>22</v>
      </c>
      <c r="L376" s="1">
        <f t="shared" si="16"/>
        <v>64.666666666666671</v>
      </c>
      <c r="M376" s="2" t="str">
        <f t="shared" si="17"/>
        <v>Fail</v>
      </c>
      <c r="N376" s="2" t="str">
        <f t="shared" si="15"/>
        <v>High Risk</v>
      </c>
    </row>
    <row r="377" spans="1:14" x14ac:dyDescent="0.3">
      <c r="A377" s="2" t="s">
        <v>573</v>
      </c>
      <c r="B377" s="2" t="s">
        <v>234</v>
      </c>
      <c r="C377" s="2" t="s">
        <v>16</v>
      </c>
      <c r="D377" s="2">
        <v>20</v>
      </c>
      <c r="E377" s="2" t="s">
        <v>17</v>
      </c>
      <c r="F377" s="2">
        <v>3</v>
      </c>
      <c r="G377" s="2">
        <v>59</v>
      </c>
      <c r="H377" s="2">
        <v>53</v>
      </c>
      <c r="I377" s="2">
        <v>47</v>
      </c>
      <c r="J377" s="2">
        <v>80.19</v>
      </c>
      <c r="K377" s="2" t="s">
        <v>31</v>
      </c>
      <c r="L377" s="1">
        <f t="shared" si="16"/>
        <v>53</v>
      </c>
      <c r="M377" s="2" t="str">
        <f t="shared" si="17"/>
        <v>Pass</v>
      </c>
      <c r="N377" s="2" t="str">
        <f t="shared" si="15"/>
        <v>Monitor</v>
      </c>
    </row>
    <row r="378" spans="1:14" x14ac:dyDescent="0.3">
      <c r="A378" s="2" t="s">
        <v>574</v>
      </c>
      <c r="B378" s="2" t="s">
        <v>26</v>
      </c>
      <c r="C378" s="2" t="s">
        <v>16</v>
      </c>
      <c r="D378" s="2">
        <v>19</v>
      </c>
      <c r="E378" s="2" t="s">
        <v>34</v>
      </c>
      <c r="F378" s="2">
        <v>2</v>
      </c>
      <c r="G378" s="2">
        <v>41</v>
      </c>
      <c r="H378" s="2">
        <v>96</v>
      </c>
      <c r="I378" s="2">
        <v>64</v>
      </c>
      <c r="J378" s="2">
        <v>79.290000000000006</v>
      </c>
      <c r="K378" s="2" t="s">
        <v>22</v>
      </c>
      <c r="L378" s="1">
        <f t="shared" si="16"/>
        <v>67</v>
      </c>
      <c r="M378" s="2" t="str">
        <f t="shared" si="17"/>
        <v>Pass</v>
      </c>
      <c r="N378" s="2" t="str">
        <f t="shared" si="15"/>
        <v>Stable</v>
      </c>
    </row>
    <row r="379" spans="1:14" x14ac:dyDescent="0.3">
      <c r="A379" s="2" t="s">
        <v>575</v>
      </c>
      <c r="B379" s="2" t="s">
        <v>138</v>
      </c>
      <c r="C379" s="2" t="s">
        <v>16</v>
      </c>
      <c r="D379" s="2">
        <v>21</v>
      </c>
      <c r="E379" s="2" t="s">
        <v>17</v>
      </c>
      <c r="F379" s="2">
        <v>4</v>
      </c>
      <c r="G379" s="2">
        <v>94</v>
      </c>
      <c r="H379" s="2">
        <v>36</v>
      </c>
      <c r="I379" s="2">
        <v>98</v>
      </c>
      <c r="J379" s="2">
        <v>82.92</v>
      </c>
      <c r="K379" s="2" t="s">
        <v>28</v>
      </c>
      <c r="L379" s="1">
        <f t="shared" si="16"/>
        <v>76</v>
      </c>
      <c r="M379" s="2" t="str">
        <f t="shared" si="17"/>
        <v>Fail</v>
      </c>
      <c r="N379" s="2" t="str">
        <f t="shared" si="15"/>
        <v>High Risk</v>
      </c>
    </row>
    <row r="380" spans="1:14" x14ac:dyDescent="0.3">
      <c r="A380" s="2" t="s">
        <v>576</v>
      </c>
      <c r="B380" s="2" t="s">
        <v>240</v>
      </c>
      <c r="C380" s="2" t="s">
        <v>16</v>
      </c>
      <c r="D380" s="2">
        <v>18</v>
      </c>
      <c r="E380" s="2" t="s">
        <v>37</v>
      </c>
      <c r="F380" s="2">
        <v>3</v>
      </c>
      <c r="G380" s="2">
        <v>83</v>
      </c>
      <c r="H380" s="2">
        <v>80</v>
      </c>
      <c r="I380" s="2">
        <v>91</v>
      </c>
      <c r="J380" s="2">
        <v>67.430000000000007</v>
      </c>
      <c r="K380" s="2" t="s">
        <v>18</v>
      </c>
      <c r="L380" s="1">
        <f t="shared" si="16"/>
        <v>84.666666666666671</v>
      </c>
      <c r="M380" s="2" t="str">
        <f t="shared" si="17"/>
        <v>Pass</v>
      </c>
      <c r="N380" s="2" t="str">
        <f t="shared" si="15"/>
        <v>Stable</v>
      </c>
    </row>
    <row r="381" spans="1:14" x14ac:dyDescent="0.3">
      <c r="A381" s="2" t="s">
        <v>577</v>
      </c>
      <c r="B381" s="2" t="s">
        <v>247</v>
      </c>
      <c r="C381" s="2" t="s">
        <v>21</v>
      </c>
      <c r="D381" s="2">
        <v>21</v>
      </c>
      <c r="E381" s="2" t="s">
        <v>50</v>
      </c>
      <c r="F381" s="2">
        <v>6</v>
      </c>
      <c r="G381" s="2">
        <v>96</v>
      </c>
      <c r="H381" s="2">
        <v>81</v>
      </c>
      <c r="I381" s="2">
        <v>71</v>
      </c>
      <c r="J381" s="2">
        <v>63.12</v>
      </c>
      <c r="K381" s="2" t="s">
        <v>18</v>
      </c>
      <c r="L381" s="1">
        <f t="shared" si="16"/>
        <v>82.666666666666671</v>
      </c>
      <c r="M381" s="2" t="str">
        <f t="shared" si="17"/>
        <v>Pass</v>
      </c>
      <c r="N381" s="2" t="str">
        <f t="shared" si="15"/>
        <v>Stable</v>
      </c>
    </row>
    <row r="382" spans="1:14" x14ac:dyDescent="0.3">
      <c r="A382" s="2" t="s">
        <v>578</v>
      </c>
      <c r="B382" s="2" t="s">
        <v>157</v>
      </c>
      <c r="C382" s="2" t="s">
        <v>16</v>
      </c>
      <c r="D382" s="2">
        <v>21</v>
      </c>
      <c r="E382" s="2" t="s">
        <v>34</v>
      </c>
      <c r="F382" s="2">
        <v>4</v>
      </c>
      <c r="G382" s="2">
        <v>86</v>
      </c>
      <c r="H382" s="2">
        <v>91</v>
      </c>
      <c r="I382" s="2">
        <v>72</v>
      </c>
      <c r="J382" s="2">
        <v>60.2</v>
      </c>
      <c r="K382" s="2" t="s">
        <v>18</v>
      </c>
      <c r="L382" s="1">
        <f t="shared" si="16"/>
        <v>83</v>
      </c>
      <c r="M382" s="2" t="str">
        <f t="shared" si="17"/>
        <v>Pass</v>
      </c>
      <c r="N382" s="2" t="str">
        <f t="shared" si="15"/>
        <v>Stable</v>
      </c>
    </row>
    <row r="383" spans="1:14" x14ac:dyDescent="0.3">
      <c r="A383" s="2" t="s">
        <v>579</v>
      </c>
      <c r="B383" s="2" t="s">
        <v>80</v>
      </c>
      <c r="C383" s="2" t="s">
        <v>16</v>
      </c>
      <c r="D383" s="2">
        <v>23</v>
      </c>
      <c r="E383" s="2" t="s">
        <v>17</v>
      </c>
      <c r="F383" s="2">
        <v>4</v>
      </c>
      <c r="G383" s="2">
        <v>97</v>
      </c>
      <c r="H383" s="2">
        <v>36</v>
      </c>
      <c r="I383" s="2">
        <v>35</v>
      </c>
      <c r="J383" s="2">
        <v>76.83</v>
      </c>
      <c r="K383" s="2" t="s">
        <v>31</v>
      </c>
      <c r="L383" s="1">
        <f t="shared" si="16"/>
        <v>56</v>
      </c>
      <c r="M383" s="2" t="str">
        <f t="shared" si="17"/>
        <v>Fail</v>
      </c>
      <c r="N383" s="2" t="str">
        <f t="shared" si="15"/>
        <v>High Risk</v>
      </c>
    </row>
    <row r="384" spans="1:14" x14ac:dyDescent="0.3">
      <c r="A384" s="2" t="s">
        <v>580</v>
      </c>
      <c r="B384" s="2" t="s">
        <v>26</v>
      </c>
      <c r="C384" s="2" t="s">
        <v>21</v>
      </c>
      <c r="D384" s="2">
        <v>19</v>
      </c>
      <c r="E384" s="2" t="s">
        <v>27</v>
      </c>
      <c r="F384" s="2">
        <v>1</v>
      </c>
      <c r="G384" s="2">
        <v>52</v>
      </c>
      <c r="H384" s="2">
        <v>46</v>
      </c>
      <c r="I384" s="2">
        <v>97</v>
      </c>
      <c r="J384" s="2">
        <v>75.36</v>
      </c>
      <c r="K384" s="2" t="s">
        <v>22</v>
      </c>
      <c r="L384" s="1">
        <f t="shared" si="16"/>
        <v>65</v>
      </c>
      <c r="M384" s="2" t="str">
        <f t="shared" si="17"/>
        <v>Pass</v>
      </c>
      <c r="N384" s="2" t="str">
        <f t="shared" si="15"/>
        <v>Stable</v>
      </c>
    </row>
    <row r="385" spans="1:14" x14ac:dyDescent="0.3">
      <c r="A385" s="2" t="s">
        <v>581</v>
      </c>
      <c r="B385" s="2" t="s">
        <v>403</v>
      </c>
      <c r="C385" s="2" t="s">
        <v>21</v>
      </c>
      <c r="D385" s="2">
        <v>22</v>
      </c>
      <c r="E385" s="2" t="s">
        <v>50</v>
      </c>
      <c r="F385" s="2">
        <v>5</v>
      </c>
      <c r="G385" s="2">
        <v>65</v>
      </c>
      <c r="H385" s="2">
        <v>78</v>
      </c>
      <c r="I385" s="2">
        <v>84</v>
      </c>
      <c r="J385" s="2">
        <v>84.84</v>
      </c>
      <c r="K385" s="2" t="s">
        <v>28</v>
      </c>
      <c r="L385" s="1">
        <f t="shared" si="16"/>
        <v>75.666666666666671</v>
      </c>
      <c r="M385" s="2" t="str">
        <f t="shared" si="17"/>
        <v>Pass</v>
      </c>
      <c r="N385" s="2" t="str">
        <f t="shared" si="15"/>
        <v>Stable</v>
      </c>
    </row>
    <row r="386" spans="1:14" x14ac:dyDescent="0.3">
      <c r="A386" s="2" t="s">
        <v>582</v>
      </c>
      <c r="B386" s="2" t="s">
        <v>215</v>
      </c>
      <c r="C386" s="2" t="s">
        <v>21</v>
      </c>
      <c r="D386" s="2">
        <v>21</v>
      </c>
      <c r="E386" s="2" t="s">
        <v>27</v>
      </c>
      <c r="F386" s="2">
        <v>5</v>
      </c>
      <c r="G386" s="2">
        <v>80</v>
      </c>
      <c r="H386" s="2">
        <v>55</v>
      </c>
      <c r="I386" s="2">
        <v>39</v>
      </c>
      <c r="J386" s="2">
        <v>96.2</v>
      </c>
      <c r="K386" s="2" t="s">
        <v>31</v>
      </c>
      <c r="L386" s="1">
        <f t="shared" si="16"/>
        <v>58</v>
      </c>
      <c r="M386" s="2" t="str">
        <f t="shared" si="17"/>
        <v>Fail</v>
      </c>
      <c r="N386" s="2" t="str">
        <f t="shared" ref="N386:N449" si="18">_xlfn.IFS(M386="Fail", "High Risk", L386&lt;60, "Monitor", TRUE, "Stable")</f>
        <v>High Risk</v>
      </c>
    </row>
    <row r="387" spans="1:14" x14ac:dyDescent="0.3">
      <c r="A387" s="2" t="s">
        <v>583</v>
      </c>
      <c r="B387" s="2" t="s">
        <v>247</v>
      </c>
      <c r="C387" s="2" t="s">
        <v>16</v>
      </c>
      <c r="D387" s="2">
        <v>23</v>
      </c>
      <c r="E387" s="2" t="s">
        <v>37</v>
      </c>
      <c r="F387" s="2">
        <v>2</v>
      </c>
      <c r="G387" s="2">
        <v>87</v>
      </c>
      <c r="H387" s="2">
        <v>94</v>
      </c>
      <c r="I387" s="2">
        <v>93</v>
      </c>
      <c r="J387" s="2">
        <v>94.8</v>
      </c>
      <c r="K387" s="2" t="s">
        <v>126</v>
      </c>
      <c r="L387" s="1">
        <f t="shared" si="16"/>
        <v>91.333333333333329</v>
      </c>
      <c r="M387" s="2" t="str">
        <f t="shared" si="17"/>
        <v>Pass</v>
      </c>
      <c r="N387" s="2" t="str">
        <f t="shared" si="18"/>
        <v>Stable</v>
      </c>
    </row>
    <row r="388" spans="1:14" x14ac:dyDescent="0.3">
      <c r="A388" s="2" t="s">
        <v>584</v>
      </c>
      <c r="B388" s="2" t="s">
        <v>168</v>
      </c>
      <c r="C388" s="2" t="s">
        <v>16</v>
      </c>
      <c r="D388" s="2">
        <v>22</v>
      </c>
      <c r="E388" s="2" t="s">
        <v>50</v>
      </c>
      <c r="F388" s="2">
        <v>2</v>
      </c>
      <c r="G388" s="2">
        <v>61</v>
      </c>
      <c r="H388" s="2">
        <v>48</v>
      </c>
      <c r="I388" s="2">
        <v>76</v>
      </c>
      <c r="J388" s="2">
        <v>78.790000000000006</v>
      </c>
      <c r="K388" s="2" t="s">
        <v>22</v>
      </c>
      <c r="L388" s="1">
        <f t="shared" ref="L388:L451" si="19">AVERAGE(G388:I388)</f>
        <v>61.666666666666664</v>
      </c>
      <c r="M388" s="2" t="str">
        <f t="shared" ref="M388:M451" si="20">IF(OR(G388&lt;40, H388&lt;40, I388&lt;40), "Fail", "Pass")</f>
        <v>Pass</v>
      </c>
      <c r="N388" s="2" t="str">
        <f t="shared" si="18"/>
        <v>Stable</v>
      </c>
    </row>
    <row r="389" spans="1:14" x14ac:dyDescent="0.3">
      <c r="A389" s="2" t="s">
        <v>585</v>
      </c>
      <c r="B389" s="2" t="s">
        <v>333</v>
      </c>
      <c r="C389" s="2" t="s">
        <v>21</v>
      </c>
      <c r="D389" s="2">
        <v>20</v>
      </c>
      <c r="E389" s="2" t="s">
        <v>27</v>
      </c>
      <c r="F389" s="2">
        <v>5</v>
      </c>
      <c r="G389" s="2">
        <v>86</v>
      </c>
      <c r="H389" s="2">
        <v>67</v>
      </c>
      <c r="I389" s="2">
        <v>64</v>
      </c>
      <c r="J389" s="2">
        <v>60.58</v>
      </c>
      <c r="K389" s="2" t="s">
        <v>28</v>
      </c>
      <c r="L389" s="1">
        <f t="shared" si="19"/>
        <v>72.333333333333329</v>
      </c>
      <c r="M389" s="2" t="str">
        <f t="shared" si="20"/>
        <v>Pass</v>
      </c>
      <c r="N389" s="2" t="str">
        <f t="shared" si="18"/>
        <v>Stable</v>
      </c>
    </row>
    <row r="390" spans="1:14" x14ac:dyDescent="0.3">
      <c r="A390" s="2" t="s">
        <v>586</v>
      </c>
      <c r="B390" s="2" t="s">
        <v>82</v>
      </c>
      <c r="C390" s="2" t="s">
        <v>21</v>
      </c>
      <c r="D390" s="2">
        <v>20</v>
      </c>
      <c r="E390" s="2" t="s">
        <v>27</v>
      </c>
      <c r="F390" s="2">
        <v>4</v>
      </c>
      <c r="G390" s="2">
        <v>49</v>
      </c>
      <c r="H390" s="2">
        <v>43</v>
      </c>
      <c r="I390" s="2">
        <v>42</v>
      </c>
      <c r="J390" s="2">
        <v>88.71</v>
      </c>
      <c r="K390" s="2" t="s">
        <v>55</v>
      </c>
      <c r="L390" s="1">
        <f t="shared" si="19"/>
        <v>44.666666666666664</v>
      </c>
      <c r="M390" s="2" t="str">
        <f t="shared" si="20"/>
        <v>Pass</v>
      </c>
      <c r="N390" s="2" t="str">
        <f t="shared" si="18"/>
        <v>Monitor</v>
      </c>
    </row>
    <row r="391" spans="1:14" x14ac:dyDescent="0.3">
      <c r="A391" s="2" t="s">
        <v>587</v>
      </c>
      <c r="B391" s="2" t="s">
        <v>283</v>
      </c>
      <c r="C391" s="2" t="s">
        <v>16</v>
      </c>
      <c r="D391" s="2">
        <v>21</v>
      </c>
      <c r="E391" s="2" t="s">
        <v>50</v>
      </c>
      <c r="F391" s="2">
        <v>5</v>
      </c>
      <c r="G391" s="2">
        <v>70</v>
      </c>
      <c r="H391" s="2">
        <v>57</v>
      </c>
      <c r="I391" s="2">
        <v>81</v>
      </c>
      <c r="J391" s="2">
        <v>71.14</v>
      </c>
      <c r="K391" s="2" t="s">
        <v>22</v>
      </c>
      <c r="L391" s="1">
        <f t="shared" si="19"/>
        <v>69.333333333333329</v>
      </c>
      <c r="M391" s="2" t="str">
        <f t="shared" si="20"/>
        <v>Pass</v>
      </c>
      <c r="N391" s="2" t="str">
        <f t="shared" si="18"/>
        <v>Stable</v>
      </c>
    </row>
    <row r="392" spans="1:14" x14ac:dyDescent="0.3">
      <c r="A392" s="2" t="s">
        <v>588</v>
      </c>
      <c r="B392" s="2" t="s">
        <v>15</v>
      </c>
      <c r="C392" s="2" t="s">
        <v>16</v>
      </c>
      <c r="D392" s="2">
        <v>19</v>
      </c>
      <c r="E392" s="2" t="s">
        <v>37</v>
      </c>
      <c r="F392" s="2">
        <v>2</v>
      </c>
      <c r="G392" s="2">
        <v>61</v>
      </c>
      <c r="H392" s="2">
        <v>50</v>
      </c>
      <c r="I392" s="2">
        <v>52</v>
      </c>
      <c r="J392" s="2">
        <v>90.23</v>
      </c>
      <c r="K392" s="2" t="s">
        <v>31</v>
      </c>
      <c r="L392" s="1">
        <f t="shared" si="19"/>
        <v>54.333333333333336</v>
      </c>
      <c r="M392" s="2" t="str">
        <f t="shared" si="20"/>
        <v>Pass</v>
      </c>
      <c r="N392" s="2" t="str">
        <f t="shared" si="18"/>
        <v>Monitor</v>
      </c>
    </row>
    <row r="393" spans="1:14" x14ac:dyDescent="0.3">
      <c r="A393" s="2" t="s">
        <v>589</v>
      </c>
      <c r="B393" s="2" t="s">
        <v>134</v>
      </c>
      <c r="C393" s="2" t="s">
        <v>21</v>
      </c>
      <c r="D393" s="2">
        <v>20</v>
      </c>
      <c r="E393" s="2" t="s">
        <v>17</v>
      </c>
      <c r="F393" s="2">
        <v>3</v>
      </c>
      <c r="G393" s="2">
        <v>58</v>
      </c>
      <c r="H393" s="2">
        <v>56</v>
      </c>
      <c r="I393" s="2">
        <v>50</v>
      </c>
      <c r="J393" s="2">
        <v>89.11</v>
      </c>
      <c r="K393" s="2" t="s">
        <v>31</v>
      </c>
      <c r="L393" s="1">
        <f t="shared" si="19"/>
        <v>54.666666666666664</v>
      </c>
      <c r="M393" s="2" t="str">
        <f t="shared" si="20"/>
        <v>Pass</v>
      </c>
      <c r="N393" s="2" t="str">
        <f t="shared" si="18"/>
        <v>Monitor</v>
      </c>
    </row>
    <row r="394" spans="1:14" x14ac:dyDescent="0.3">
      <c r="A394" s="2" t="s">
        <v>590</v>
      </c>
      <c r="B394" s="2" t="s">
        <v>398</v>
      </c>
      <c r="C394" s="2" t="s">
        <v>16</v>
      </c>
      <c r="D394" s="2">
        <v>18</v>
      </c>
      <c r="E394" s="2" t="s">
        <v>34</v>
      </c>
      <c r="F394" s="2">
        <v>5</v>
      </c>
      <c r="G394" s="2">
        <v>85</v>
      </c>
      <c r="H394" s="2">
        <v>52</v>
      </c>
      <c r="I394" s="2">
        <v>71</v>
      </c>
      <c r="J394" s="2">
        <v>68.67</v>
      </c>
      <c r="K394" s="2" t="s">
        <v>22</v>
      </c>
      <c r="L394" s="1">
        <f t="shared" si="19"/>
        <v>69.333333333333329</v>
      </c>
      <c r="M394" s="2" t="str">
        <f t="shared" si="20"/>
        <v>Pass</v>
      </c>
      <c r="N394" s="2" t="str">
        <f t="shared" si="18"/>
        <v>Stable</v>
      </c>
    </row>
    <row r="395" spans="1:14" x14ac:dyDescent="0.3">
      <c r="A395" s="2" t="s">
        <v>591</v>
      </c>
      <c r="B395" s="2" t="s">
        <v>211</v>
      </c>
      <c r="C395" s="2" t="s">
        <v>21</v>
      </c>
      <c r="D395" s="2">
        <v>19</v>
      </c>
      <c r="E395" s="2" t="s">
        <v>27</v>
      </c>
      <c r="F395" s="2">
        <v>5</v>
      </c>
      <c r="G395" s="2">
        <v>36</v>
      </c>
      <c r="H395" s="2">
        <v>56</v>
      </c>
      <c r="I395" s="2">
        <v>93</v>
      </c>
      <c r="J395" s="2">
        <v>64.55</v>
      </c>
      <c r="K395" s="2" t="s">
        <v>22</v>
      </c>
      <c r="L395" s="1">
        <f t="shared" si="19"/>
        <v>61.666666666666664</v>
      </c>
      <c r="M395" s="2" t="str">
        <f t="shared" si="20"/>
        <v>Fail</v>
      </c>
      <c r="N395" s="2" t="str">
        <f t="shared" si="18"/>
        <v>High Risk</v>
      </c>
    </row>
    <row r="396" spans="1:14" x14ac:dyDescent="0.3">
      <c r="A396" s="2" t="s">
        <v>592</v>
      </c>
      <c r="B396" s="2" t="s">
        <v>206</v>
      </c>
      <c r="C396" s="2" t="s">
        <v>16</v>
      </c>
      <c r="D396" s="2">
        <v>21</v>
      </c>
      <c r="E396" s="2" t="s">
        <v>50</v>
      </c>
      <c r="F396" s="2">
        <v>2</v>
      </c>
      <c r="G396" s="2">
        <v>44</v>
      </c>
      <c r="H396" s="2">
        <v>63</v>
      </c>
      <c r="I396" s="2">
        <v>61</v>
      </c>
      <c r="J396" s="2">
        <v>70.7</v>
      </c>
      <c r="K396" s="2" t="s">
        <v>31</v>
      </c>
      <c r="L396" s="1">
        <f t="shared" si="19"/>
        <v>56</v>
      </c>
      <c r="M396" s="2" t="str">
        <f t="shared" si="20"/>
        <v>Pass</v>
      </c>
      <c r="N396" s="2" t="str">
        <f t="shared" si="18"/>
        <v>Monitor</v>
      </c>
    </row>
    <row r="397" spans="1:14" x14ac:dyDescent="0.3">
      <c r="A397" s="2" t="s">
        <v>593</v>
      </c>
      <c r="B397" s="2" t="s">
        <v>438</v>
      </c>
      <c r="C397" s="2" t="s">
        <v>21</v>
      </c>
      <c r="D397" s="2">
        <v>22</v>
      </c>
      <c r="E397" s="2" t="s">
        <v>27</v>
      </c>
      <c r="F397" s="2">
        <v>1</v>
      </c>
      <c r="G397" s="2">
        <v>41</v>
      </c>
      <c r="H397" s="2">
        <v>82</v>
      </c>
      <c r="I397" s="2">
        <v>74</v>
      </c>
      <c r="J397" s="2">
        <v>60.74</v>
      </c>
      <c r="K397" s="2" t="s">
        <v>22</v>
      </c>
      <c r="L397" s="1">
        <f t="shared" si="19"/>
        <v>65.666666666666671</v>
      </c>
      <c r="M397" s="2" t="str">
        <f t="shared" si="20"/>
        <v>Pass</v>
      </c>
      <c r="N397" s="2" t="str">
        <f t="shared" si="18"/>
        <v>Stable</v>
      </c>
    </row>
    <row r="398" spans="1:14" x14ac:dyDescent="0.3">
      <c r="A398" s="2" t="s">
        <v>594</v>
      </c>
      <c r="B398" s="2" t="s">
        <v>276</v>
      </c>
      <c r="C398" s="2" t="s">
        <v>16</v>
      </c>
      <c r="D398" s="2">
        <v>21</v>
      </c>
      <c r="E398" s="2" t="s">
        <v>34</v>
      </c>
      <c r="F398" s="2">
        <v>1</v>
      </c>
      <c r="G398" s="2">
        <v>65</v>
      </c>
      <c r="H398" s="2">
        <v>45</v>
      </c>
      <c r="I398" s="2">
        <v>72</v>
      </c>
      <c r="J398" s="2">
        <v>79.89</v>
      </c>
      <c r="K398" s="2" t="s">
        <v>22</v>
      </c>
      <c r="L398" s="1">
        <f t="shared" si="19"/>
        <v>60.666666666666664</v>
      </c>
      <c r="M398" s="2" t="str">
        <f t="shared" si="20"/>
        <v>Pass</v>
      </c>
      <c r="N398" s="2" t="str">
        <f t="shared" si="18"/>
        <v>Stable</v>
      </c>
    </row>
    <row r="399" spans="1:14" x14ac:dyDescent="0.3">
      <c r="A399" s="2" t="s">
        <v>595</v>
      </c>
      <c r="B399" s="2" t="s">
        <v>320</v>
      </c>
      <c r="C399" s="2" t="s">
        <v>21</v>
      </c>
      <c r="D399" s="2">
        <v>20</v>
      </c>
      <c r="E399" s="2" t="s">
        <v>34</v>
      </c>
      <c r="F399" s="2">
        <v>4</v>
      </c>
      <c r="G399" s="2">
        <v>43</v>
      </c>
      <c r="H399" s="2">
        <v>77</v>
      </c>
      <c r="I399" s="2">
        <v>45</v>
      </c>
      <c r="J399" s="2">
        <v>82.43</v>
      </c>
      <c r="K399" s="2" t="s">
        <v>31</v>
      </c>
      <c r="L399" s="1">
        <f t="shared" si="19"/>
        <v>55</v>
      </c>
      <c r="M399" s="2" t="str">
        <f t="shared" si="20"/>
        <v>Pass</v>
      </c>
      <c r="N399" s="2" t="str">
        <f t="shared" si="18"/>
        <v>Monitor</v>
      </c>
    </row>
    <row r="400" spans="1:14" x14ac:dyDescent="0.3">
      <c r="A400" s="2" t="s">
        <v>596</v>
      </c>
      <c r="B400" s="2" t="s">
        <v>597</v>
      </c>
      <c r="C400" s="2" t="s">
        <v>21</v>
      </c>
      <c r="D400" s="2">
        <v>20</v>
      </c>
      <c r="E400" s="2" t="s">
        <v>27</v>
      </c>
      <c r="F400" s="2">
        <v>4</v>
      </c>
      <c r="G400" s="2">
        <v>56</v>
      </c>
      <c r="H400" s="2">
        <v>42</v>
      </c>
      <c r="I400" s="2">
        <v>37</v>
      </c>
      <c r="J400" s="2">
        <v>82.09</v>
      </c>
      <c r="K400" s="2" t="s">
        <v>55</v>
      </c>
      <c r="L400" s="1">
        <f t="shared" si="19"/>
        <v>45</v>
      </c>
      <c r="M400" s="2" t="str">
        <f t="shared" si="20"/>
        <v>Fail</v>
      </c>
      <c r="N400" s="2" t="str">
        <f t="shared" si="18"/>
        <v>High Risk</v>
      </c>
    </row>
    <row r="401" spans="1:14" x14ac:dyDescent="0.3">
      <c r="A401" s="2" t="s">
        <v>598</v>
      </c>
      <c r="B401" s="2" t="s">
        <v>270</v>
      </c>
      <c r="C401" s="2" t="s">
        <v>16</v>
      </c>
      <c r="D401" s="2">
        <v>19</v>
      </c>
      <c r="E401" s="2" t="s">
        <v>17</v>
      </c>
      <c r="F401" s="2">
        <v>2</v>
      </c>
      <c r="G401" s="2">
        <v>40</v>
      </c>
      <c r="H401" s="2">
        <v>65</v>
      </c>
      <c r="I401" s="2">
        <v>56</v>
      </c>
      <c r="J401" s="2">
        <v>81.81</v>
      </c>
      <c r="K401" s="2" t="s">
        <v>31</v>
      </c>
      <c r="L401" s="1">
        <f t="shared" si="19"/>
        <v>53.666666666666664</v>
      </c>
      <c r="M401" s="2" t="str">
        <f t="shared" si="20"/>
        <v>Pass</v>
      </c>
      <c r="N401" s="2" t="str">
        <f t="shared" si="18"/>
        <v>Monitor</v>
      </c>
    </row>
    <row r="402" spans="1:14" x14ac:dyDescent="0.3">
      <c r="A402" s="2" t="s">
        <v>599</v>
      </c>
      <c r="B402" s="2" t="s">
        <v>600</v>
      </c>
      <c r="C402" s="2" t="s">
        <v>21</v>
      </c>
      <c r="D402" s="2">
        <v>18</v>
      </c>
      <c r="E402" s="2" t="s">
        <v>34</v>
      </c>
      <c r="F402" s="2">
        <v>4</v>
      </c>
      <c r="G402" s="2">
        <v>61</v>
      </c>
      <c r="H402" s="2">
        <v>53</v>
      </c>
      <c r="I402" s="2">
        <v>53</v>
      </c>
      <c r="J402" s="2">
        <v>85.27</v>
      </c>
      <c r="K402" s="2" t="s">
        <v>31</v>
      </c>
      <c r="L402" s="1">
        <f t="shared" si="19"/>
        <v>55.666666666666664</v>
      </c>
      <c r="M402" s="2" t="str">
        <f t="shared" si="20"/>
        <v>Pass</v>
      </c>
      <c r="N402" s="2" t="str">
        <f t="shared" si="18"/>
        <v>Monitor</v>
      </c>
    </row>
    <row r="403" spans="1:14" x14ac:dyDescent="0.3">
      <c r="A403" s="2" t="s">
        <v>601</v>
      </c>
      <c r="B403" s="2" t="s">
        <v>484</v>
      </c>
      <c r="C403" s="2" t="s">
        <v>16</v>
      </c>
      <c r="D403" s="2">
        <v>23</v>
      </c>
      <c r="E403" s="2" t="s">
        <v>17</v>
      </c>
      <c r="F403" s="2">
        <v>2</v>
      </c>
      <c r="G403" s="2">
        <v>57</v>
      </c>
      <c r="H403" s="2">
        <v>82</v>
      </c>
      <c r="I403" s="2">
        <v>82</v>
      </c>
      <c r="J403" s="2">
        <v>64.92</v>
      </c>
      <c r="K403" s="2" t="s">
        <v>28</v>
      </c>
      <c r="L403" s="1">
        <f t="shared" si="19"/>
        <v>73.666666666666671</v>
      </c>
      <c r="M403" s="2" t="str">
        <f t="shared" si="20"/>
        <v>Pass</v>
      </c>
      <c r="N403" s="2" t="str">
        <f t="shared" si="18"/>
        <v>Stable</v>
      </c>
    </row>
    <row r="404" spans="1:14" x14ac:dyDescent="0.3">
      <c r="A404" s="2" t="s">
        <v>602</v>
      </c>
      <c r="B404" s="2" t="s">
        <v>217</v>
      </c>
      <c r="C404" s="2" t="s">
        <v>21</v>
      </c>
      <c r="D404" s="2">
        <v>20</v>
      </c>
      <c r="E404" s="2" t="s">
        <v>50</v>
      </c>
      <c r="F404" s="2">
        <v>5</v>
      </c>
      <c r="G404" s="2">
        <v>94</v>
      </c>
      <c r="H404" s="2">
        <v>55</v>
      </c>
      <c r="I404" s="2">
        <v>96</v>
      </c>
      <c r="J404" s="2">
        <v>72.3</v>
      </c>
      <c r="K404" s="2" t="s">
        <v>18</v>
      </c>
      <c r="L404" s="1">
        <f t="shared" si="19"/>
        <v>81.666666666666671</v>
      </c>
      <c r="M404" s="2" t="str">
        <f t="shared" si="20"/>
        <v>Pass</v>
      </c>
      <c r="N404" s="2" t="str">
        <f t="shared" si="18"/>
        <v>Stable</v>
      </c>
    </row>
    <row r="405" spans="1:14" x14ac:dyDescent="0.3">
      <c r="A405" s="2" t="s">
        <v>603</v>
      </c>
      <c r="B405" s="2" t="s">
        <v>604</v>
      </c>
      <c r="C405" s="2" t="s">
        <v>16</v>
      </c>
      <c r="D405" s="2">
        <v>23</v>
      </c>
      <c r="E405" s="2" t="s">
        <v>27</v>
      </c>
      <c r="F405" s="2">
        <v>2</v>
      </c>
      <c r="G405" s="2">
        <v>53</v>
      </c>
      <c r="H405" s="2">
        <v>95</v>
      </c>
      <c r="I405" s="2">
        <v>63</v>
      </c>
      <c r="J405" s="2">
        <v>74.42</v>
      </c>
      <c r="K405" s="2" t="s">
        <v>28</v>
      </c>
      <c r="L405" s="1">
        <f t="shared" si="19"/>
        <v>70.333333333333329</v>
      </c>
      <c r="M405" s="2" t="str">
        <f t="shared" si="20"/>
        <v>Pass</v>
      </c>
      <c r="N405" s="2" t="str">
        <f t="shared" si="18"/>
        <v>Stable</v>
      </c>
    </row>
    <row r="406" spans="1:14" x14ac:dyDescent="0.3">
      <c r="A406" s="2" t="s">
        <v>605</v>
      </c>
      <c r="B406" s="2" t="s">
        <v>72</v>
      </c>
      <c r="C406" s="2" t="s">
        <v>21</v>
      </c>
      <c r="D406" s="2">
        <v>22</v>
      </c>
      <c r="E406" s="2" t="s">
        <v>50</v>
      </c>
      <c r="F406" s="2">
        <v>1</v>
      </c>
      <c r="G406" s="2">
        <v>81</v>
      </c>
      <c r="H406" s="2">
        <v>57</v>
      </c>
      <c r="I406" s="2">
        <v>83</v>
      </c>
      <c r="J406" s="2">
        <v>96.72</v>
      </c>
      <c r="K406" s="2" t="s">
        <v>28</v>
      </c>
      <c r="L406" s="1">
        <f t="shared" si="19"/>
        <v>73.666666666666671</v>
      </c>
      <c r="M406" s="2" t="str">
        <f t="shared" si="20"/>
        <v>Pass</v>
      </c>
      <c r="N406" s="2" t="str">
        <f t="shared" si="18"/>
        <v>Stable</v>
      </c>
    </row>
    <row r="407" spans="1:14" x14ac:dyDescent="0.3">
      <c r="A407" s="2" t="s">
        <v>606</v>
      </c>
      <c r="B407" s="2" t="s">
        <v>607</v>
      </c>
      <c r="C407" s="2" t="s">
        <v>16</v>
      </c>
      <c r="D407" s="2">
        <v>19</v>
      </c>
      <c r="E407" s="2" t="s">
        <v>17</v>
      </c>
      <c r="F407" s="2">
        <v>1</v>
      </c>
      <c r="G407" s="2">
        <v>68</v>
      </c>
      <c r="H407" s="2">
        <v>41</v>
      </c>
      <c r="I407" s="2">
        <v>63</v>
      </c>
      <c r="J407" s="2">
        <v>88.42</v>
      </c>
      <c r="K407" s="2" t="s">
        <v>31</v>
      </c>
      <c r="L407" s="1">
        <f t="shared" si="19"/>
        <v>57.333333333333336</v>
      </c>
      <c r="M407" s="2" t="str">
        <f t="shared" si="20"/>
        <v>Pass</v>
      </c>
      <c r="N407" s="2" t="str">
        <f t="shared" si="18"/>
        <v>Monitor</v>
      </c>
    </row>
    <row r="408" spans="1:14" x14ac:dyDescent="0.3">
      <c r="A408" s="2" t="s">
        <v>608</v>
      </c>
      <c r="B408" s="2" t="s">
        <v>362</v>
      </c>
      <c r="C408" s="2" t="s">
        <v>21</v>
      </c>
      <c r="D408" s="2">
        <v>23</v>
      </c>
      <c r="E408" s="2" t="s">
        <v>34</v>
      </c>
      <c r="F408" s="2">
        <v>3</v>
      </c>
      <c r="G408" s="2">
        <v>55</v>
      </c>
      <c r="H408" s="2">
        <v>55</v>
      </c>
      <c r="I408" s="2">
        <v>82</v>
      </c>
      <c r="J408" s="2">
        <v>87.79</v>
      </c>
      <c r="K408" s="2" t="s">
        <v>22</v>
      </c>
      <c r="L408" s="1">
        <f t="shared" si="19"/>
        <v>64</v>
      </c>
      <c r="M408" s="2" t="str">
        <f t="shared" si="20"/>
        <v>Pass</v>
      </c>
      <c r="N408" s="2" t="str">
        <f t="shared" si="18"/>
        <v>Stable</v>
      </c>
    </row>
    <row r="409" spans="1:14" x14ac:dyDescent="0.3">
      <c r="A409" s="2" t="s">
        <v>609</v>
      </c>
      <c r="B409" s="2" t="s">
        <v>24</v>
      </c>
      <c r="C409" s="2" t="s">
        <v>21</v>
      </c>
      <c r="D409" s="2">
        <v>19</v>
      </c>
      <c r="E409" s="2" t="s">
        <v>17</v>
      </c>
      <c r="F409" s="2">
        <v>2</v>
      </c>
      <c r="G409" s="2">
        <v>76</v>
      </c>
      <c r="H409" s="2">
        <v>78</v>
      </c>
      <c r="I409" s="2">
        <v>84</v>
      </c>
      <c r="J409" s="2">
        <v>98.57</v>
      </c>
      <c r="K409" s="2" t="s">
        <v>28</v>
      </c>
      <c r="L409" s="1">
        <f t="shared" si="19"/>
        <v>79.333333333333329</v>
      </c>
      <c r="M409" s="2" t="str">
        <f t="shared" si="20"/>
        <v>Pass</v>
      </c>
      <c r="N409" s="2" t="str">
        <f t="shared" si="18"/>
        <v>Stable</v>
      </c>
    </row>
    <row r="410" spans="1:14" x14ac:dyDescent="0.3">
      <c r="A410" s="2" t="s">
        <v>610</v>
      </c>
      <c r="B410" s="2" t="s">
        <v>333</v>
      </c>
      <c r="C410" s="2" t="s">
        <v>16</v>
      </c>
      <c r="D410" s="2">
        <v>20</v>
      </c>
      <c r="E410" s="2" t="s">
        <v>34</v>
      </c>
      <c r="F410" s="2">
        <v>2</v>
      </c>
      <c r="G410" s="2">
        <v>97</v>
      </c>
      <c r="H410" s="2">
        <v>56</v>
      </c>
      <c r="I410" s="2">
        <v>45</v>
      </c>
      <c r="J410" s="2">
        <v>66.239999999999995</v>
      </c>
      <c r="K410" s="2" t="s">
        <v>22</v>
      </c>
      <c r="L410" s="1">
        <f t="shared" si="19"/>
        <v>66</v>
      </c>
      <c r="M410" s="2" t="str">
        <f t="shared" si="20"/>
        <v>Pass</v>
      </c>
      <c r="N410" s="2" t="str">
        <f t="shared" si="18"/>
        <v>Stable</v>
      </c>
    </row>
    <row r="411" spans="1:14" x14ac:dyDescent="0.3">
      <c r="A411" s="2" t="s">
        <v>611</v>
      </c>
      <c r="B411" s="2" t="s">
        <v>147</v>
      </c>
      <c r="C411" s="2" t="s">
        <v>21</v>
      </c>
      <c r="D411" s="2">
        <v>18</v>
      </c>
      <c r="E411" s="2" t="s">
        <v>17</v>
      </c>
      <c r="F411" s="2">
        <v>5</v>
      </c>
      <c r="G411" s="2">
        <v>68</v>
      </c>
      <c r="H411" s="2">
        <v>93</v>
      </c>
      <c r="I411" s="2">
        <v>62</v>
      </c>
      <c r="J411" s="2">
        <v>78.22</v>
      </c>
      <c r="K411" s="2" t="s">
        <v>28</v>
      </c>
      <c r="L411" s="1">
        <f t="shared" si="19"/>
        <v>74.333333333333329</v>
      </c>
      <c r="M411" s="2" t="str">
        <f t="shared" si="20"/>
        <v>Pass</v>
      </c>
      <c r="N411" s="2" t="str">
        <f t="shared" si="18"/>
        <v>Stable</v>
      </c>
    </row>
    <row r="412" spans="1:14" x14ac:dyDescent="0.3">
      <c r="A412" s="2" t="s">
        <v>612</v>
      </c>
      <c r="B412" s="2" t="s">
        <v>613</v>
      </c>
      <c r="C412" s="2" t="s">
        <v>21</v>
      </c>
      <c r="D412" s="2">
        <v>23</v>
      </c>
      <c r="E412" s="2" t="s">
        <v>37</v>
      </c>
      <c r="F412" s="2">
        <v>4</v>
      </c>
      <c r="G412" s="2">
        <v>78</v>
      </c>
      <c r="H412" s="2">
        <v>43</v>
      </c>
      <c r="I412" s="2">
        <v>95</v>
      </c>
      <c r="J412" s="2">
        <v>68.319999999999993</v>
      </c>
      <c r="K412" s="2" t="s">
        <v>28</v>
      </c>
      <c r="L412" s="1">
        <f t="shared" si="19"/>
        <v>72</v>
      </c>
      <c r="M412" s="2" t="str">
        <f t="shared" si="20"/>
        <v>Pass</v>
      </c>
      <c r="N412" s="2" t="str">
        <f t="shared" si="18"/>
        <v>Stable</v>
      </c>
    </row>
    <row r="413" spans="1:14" x14ac:dyDescent="0.3">
      <c r="A413" s="2" t="s">
        <v>614</v>
      </c>
      <c r="B413" s="2" t="s">
        <v>320</v>
      </c>
      <c r="C413" s="2" t="s">
        <v>21</v>
      </c>
      <c r="D413" s="2">
        <v>20</v>
      </c>
      <c r="E413" s="2" t="s">
        <v>34</v>
      </c>
      <c r="F413" s="2">
        <v>6</v>
      </c>
      <c r="G413" s="2">
        <v>88</v>
      </c>
      <c r="H413" s="2">
        <v>36</v>
      </c>
      <c r="I413" s="2">
        <v>95</v>
      </c>
      <c r="J413" s="2">
        <v>76.489999999999995</v>
      </c>
      <c r="K413" s="2" t="s">
        <v>28</v>
      </c>
      <c r="L413" s="1">
        <f t="shared" si="19"/>
        <v>73</v>
      </c>
      <c r="M413" s="2" t="str">
        <f t="shared" si="20"/>
        <v>Fail</v>
      </c>
      <c r="N413" s="2" t="str">
        <f t="shared" si="18"/>
        <v>High Risk</v>
      </c>
    </row>
    <row r="414" spans="1:14" x14ac:dyDescent="0.3">
      <c r="A414" s="2" t="s">
        <v>615</v>
      </c>
      <c r="B414" s="2" t="s">
        <v>382</v>
      </c>
      <c r="C414" s="2" t="s">
        <v>16</v>
      </c>
      <c r="D414" s="2">
        <v>21</v>
      </c>
      <c r="E414" s="2" t="s">
        <v>27</v>
      </c>
      <c r="F414" s="2">
        <v>2</v>
      </c>
      <c r="G414" s="2">
        <v>63</v>
      </c>
      <c r="H414" s="2">
        <v>65</v>
      </c>
      <c r="I414" s="2">
        <v>98</v>
      </c>
      <c r="J414" s="2">
        <v>63.72</v>
      </c>
      <c r="K414" s="2" t="s">
        <v>28</v>
      </c>
      <c r="L414" s="1">
        <f t="shared" si="19"/>
        <v>75.333333333333329</v>
      </c>
      <c r="M414" s="2" t="str">
        <f t="shared" si="20"/>
        <v>Pass</v>
      </c>
      <c r="N414" s="2" t="str">
        <f t="shared" si="18"/>
        <v>Stable</v>
      </c>
    </row>
    <row r="415" spans="1:14" x14ac:dyDescent="0.3">
      <c r="A415" s="2" t="s">
        <v>616</v>
      </c>
      <c r="B415" s="2" t="s">
        <v>607</v>
      </c>
      <c r="C415" s="2" t="s">
        <v>16</v>
      </c>
      <c r="D415" s="2">
        <v>22</v>
      </c>
      <c r="E415" s="2" t="s">
        <v>50</v>
      </c>
      <c r="F415" s="2">
        <v>5</v>
      </c>
      <c r="G415" s="2">
        <v>67</v>
      </c>
      <c r="H415" s="2">
        <v>83</v>
      </c>
      <c r="I415" s="2">
        <v>35</v>
      </c>
      <c r="J415" s="2">
        <v>73.12</v>
      </c>
      <c r="K415" s="2" t="s">
        <v>22</v>
      </c>
      <c r="L415" s="1">
        <f t="shared" si="19"/>
        <v>61.666666666666664</v>
      </c>
      <c r="M415" s="2" t="str">
        <f t="shared" si="20"/>
        <v>Fail</v>
      </c>
      <c r="N415" s="2" t="str">
        <f t="shared" si="18"/>
        <v>High Risk</v>
      </c>
    </row>
    <row r="416" spans="1:14" x14ac:dyDescent="0.3">
      <c r="A416" s="2" t="s">
        <v>617</v>
      </c>
      <c r="B416" s="2" t="s">
        <v>289</v>
      </c>
      <c r="C416" s="2" t="s">
        <v>21</v>
      </c>
      <c r="D416" s="2">
        <v>18</v>
      </c>
      <c r="E416" s="2" t="s">
        <v>50</v>
      </c>
      <c r="F416" s="2">
        <v>5</v>
      </c>
      <c r="G416" s="2">
        <v>93</v>
      </c>
      <c r="H416" s="2">
        <v>46</v>
      </c>
      <c r="I416" s="2">
        <v>77</v>
      </c>
      <c r="J416" s="2">
        <v>68.739999999999995</v>
      </c>
      <c r="K416" s="2" t="s">
        <v>28</v>
      </c>
      <c r="L416" s="1">
        <f t="shared" si="19"/>
        <v>72</v>
      </c>
      <c r="M416" s="2" t="str">
        <f t="shared" si="20"/>
        <v>Pass</v>
      </c>
      <c r="N416" s="2" t="str">
        <f t="shared" si="18"/>
        <v>Stable</v>
      </c>
    </row>
    <row r="417" spans="1:14" x14ac:dyDescent="0.3">
      <c r="A417" s="2" t="s">
        <v>618</v>
      </c>
      <c r="B417" s="2" t="s">
        <v>105</v>
      </c>
      <c r="C417" s="2" t="s">
        <v>21</v>
      </c>
      <c r="D417" s="2">
        <v>18</v>
      </c>
      <c r="E417" s="2" t="s">
        <v>37</v>
      </c>
      <c r="F417" s="2">
        <v>5</v>
      </c>
      <c r="G417" s="2">
        <v>53</v>
      </c>
      <c r="H417" s="2">
        <v>48</v>
      </c>
      <c r="I417" s="2">
        <v>83</v>
      </c>
      <c r="J417" s="2">
        <v>98.78</v>
      </c>
      <c r="K417" s="2" t="s">
        <v>22</v>
      </c>
      <c r="L417" s="1">
        <f t="shared" si="19"/>
        <v>61.333333333333336</v>
      </c>
      <c r="M417" s="2" t="str">
        <f t="shared" si="20"/>
        <v>Pass</v>
      </c>
      <c r="N417" s="2" t="str">
        <f t="shared" si="18"/>
        <v>Stable</v>
      </c>
    </row>
    <row r="418" spans="1:14" x14ac:dyDescent="0.3">
      <c r="A418" s="2" t="s">
        <v>619</v>
      </c>
      <c r="B418" s="2" t="s">
        <v>43</v>
      </c>
      <c r="C418" s="2" t="s">
        <v>16</v>
      </c>
      <c r="D418" s="2">
        <v>23</v>
      </c>
      <c r="E418" s="2" t="s">
        <v>34</v>
      </c>
      <c r="F418" s="2">
        <v>5</v>
      </c>
      <c r="G418" s="2">
        <v>35</v>
      </c>
      <c r="H418" s="2">
        <v>90</v>
      </c>
      <c r="I418" s="2">
        <v>54</v>
      </c>
      <c r="J418" s="2">
        <v>60.69</v>
      </c>
      <c r="K418" s="2" t="s">
        <v>31</v>
      </c>
      <c r="L418" s="1">
        <f t="shared" si="19"/>
        <v>59.666666666666664</v>
      </c>
      <c r="M418" s="2" t="str">
        <f t="shared" si="20"/>
        <v>Fail</v>
      </c>
      <c r="N418" s="2" t="str">
        <f t="shared" si="18"/>
        <v>High Risk</v>
      </c>
    </row>
    <row r="419" spans="1:14" x14ac:dyDescent="0.3">
      <c r="A419" s="2" t="s">
        <v>620</v>
      </c>
      <c r="B419" s="2" t="s">
        <v>123</v>
      </c>
      <c r="C419" s="2" t="s">
        <v>16</v>
      </c>
      <c r="D419" s="2">
        <v>20</v>
      </c>
      <c r="E419" s="2" t="s">
        <v>27</v>
      </c>
      <c r="F419" s="2">
        <v>3</v>
      </c>
      <c r="G419" s="2">
        <v>70</v>
      </c>
      <c r="H419" s="2">
        <v>96</v>
      </c>
      <c r="I419" s="2">
        <v>65</v>
      </c>
      <c r="J419" s="2">
        <v>64.41</v>
      </c>
      <c r="K419" s="2" t="s">
        <v>28</v>
      </c>
      <c r="L419" s="1">
        <f t="shared" si="19"/>
        <v>77</v>
      </c>
      <c r="M419" s="2" t="str">
        <f t="shared" si="20"/>
        <v>Pass</v>
      </c>
      <c r="N419" s="2" t="str">
        <f t="shared" si="18"/>
        <v>Stable</v>
      </c>
    </row>
    <row r="420" spans="1:14" x14ac:dyDescent="0.3">
      <c r="A420" s="2" t="s">
        <v>621</v>
      </c>
      <c r="B420" s="2" t="s">
        <v>488</v>
      </c>
      <c r="C420" s="2" t="s">
        <v>21</v>
      </c>
      <c r="D420" s="2">
        <v>23</v>
      </c>
      <c r="E420" s="2" t="s">
        <v>50</v>
      </c>
      <c r="F420" s="2">
        <v>5</v>
      </c>
      <c r="G420" s="2">
        <v>81</v>
      </c>
      <c r="H420" s="2">
        <v>54</v>
      </c>
      <c r="I420" s="2">
        <v>47</v>
      </c>
      <c r="J420" s="2">
        <v>76.099999999999994</v>
      </c>
      <c r="K420" s="2" t="s">
        <v>22</v>
      </c>
      <c r="L420" s="1">
        <f t="shared" si="19"/>
        <v>60.666666666666664</v>
      </c>
      <c r="M420" s="2" t="str">
        <f t="shared" si="20"/>
        <v>Pass</v>
      </c>
      <c r="N420" s="2" t="str">
        <f t="shared" si="18"/>
        <v>Stable</v>
      </c>
    </row>
    <row r="421" spans="1:14" x14ac:dyDescent="0.3">
      <c r="A421" s="2" t="s">
        <v>622</v>
      </c>
      <c r="B421" s="2" t="s">
        <v>283</v>
      </c>
      <c r="C421" s="2" t="s">
        <v>21</v>
      </c>
      <c r="D421" s="2">
        <v>19</v>
      </c>
      <c r="E421" s="2" t="s">
        <v>50</v>
      </c>
      <c r="F421" s="2">
        <v>3</v>
      </c>
      <c r="G421" s="2">
        <v>93</v>
      </c>
      <c r="H421" s="2">
        <v>50</v>
      </c>
      <c r="I421" s="2">
        <v>93</v>
      </c>
      <c r="J421" s="2">
        <v>92.51</v>
      </c>
      <c r="K421" s="2" t="s">
        <v>28</v>
      </c>
      <c r="L421" s="1">
        <f t="shared" si="19"/>
        <v>78.666666666666671</v>
      </c>
      <c r="M421" s="2" t="str">
        <f t="shared" si="20"/>
        <v>Pass</v>
      </c>
      <c r="N421" s="2" t="str">
        <f t="shared" si="18"/>
        <v>Stable</v>
      </c>
    </row>
    <row r="422" spans="1:14" x14ac:dyDescent="0.3">
      <c r="A422" s="2" t="s">
        <v>623</v>
      </c>
      <c r="B422" s="2" t="s">
        <v>624</v>
      </c>
      <c r="C422" s="2" t="s">
        <v>16</v>
      </c>
      <c r="D422" s="2">
        <v>22</v>
      </c>
      <c r="E422" s="2" t="s">
        <v>34</v>
      </c>
      <c r="F422" s="2">
        <v>1</v>
      </c>
      <c r="G422" s="2">
        <v>37</v>
      </c>
      <c r="H422" s="2">
        <v>73</v>
      </c>
      <c r="I422" s="2">
        <v>88</v>
      </c>
      <c r="J422" s="2">
        <v>82</v>
      </c>
      <c r="K422" s="2" t="s">
        <v>22</v>
      </c>
      <c r="L422" s="1">
        <f t="shared" si="19"/>
        <v>66</v>
      </c>
      <c r="M422" s="2" t="str">
        <f t="shared" si="20"/>
        <v>Fail</v>
      </c>
      <c r="N422" s="2" t="str">
        <f t="shared" si="18"/>
        <v>High Risk</v>
      </c>
    </row>
    <row r="423" spans="1:14" x14ac:dyDescent="0.3">
      <c r="A423" s="2" t="s">
        <v>625</v>
      </c>
      <c r="B423" s="2" t="s">
        <v>172</v>
      </c>
      <c r="C423" s="2" t="s">
        <v>21</v>
      </c>
      <c r="D423" s="2">
        <v>18</v>
      </c>
      <c r="E423" s="2" t="s">
        <v>34</v>
      </c>
      <c r="F423" s="2">
        <v>3</v>
      </c>
      <c r="G423" s="2">
        <v>70</v>
      </c>
      <c r="H423" s="2">
        <v>99</v>
      </c>
      <c r="I423" s="2">
        <v>94</v>
      </c>
      <c r="J423" s="2">
        <v>68.36</v>
      </c>
      <c r="K423" s="2" t="s">
        <v>18</v>
      </c>
      <c r="L423" s="1">
        <f t="shared" si="19"/>
        <v>87.666666666666671</v>
      </c>
      <c r="M423" s="2" t="str">
        <f t="shared" si="20"/>
        <v>Pass</v>
      </c>
      <c r="N423" s="2" t="str">
        <f t="shared" si="18"/>
        <v>Stable</v>
      </c>
    </row>
    <row r="424" spans="1:14" x14ac:dyDescent="0.3">
      <c r="A424" s="2" t="s">
        <v>626</v>
      </c>
      <c r="B424" s="2" t="s">
        <v>627</v>
      </c>
      <c r="C424" s="2" t="s">
        <v>21</v>
      </c>
      <c r="D424" s="2">
        <v>19</v>
      </c>
      <c r="E424" s="2" t="s">
        <v>37</v>
      </c>
      <c r="F424" s="2">
        <v>1</v>
      </c>
      <c r="G424" s="2">
        <v>87</v>
      </c>
      <c r="H424" s="2">
        <v>99</v>
      </c>
      <c r="I424" s="2">
        <v>58</v>
      </c>
      <c r="J424" s="2">
        <v>67.69</v>
      </c>
      <c r="K424" s="2" t="s">
        <v>18</v>
      </c>
      <c r="L424" s="1">
        <f t="shared" si="19"/>
        <v>81.333333333333329</v>
      </c>
      <c r="M424" s="2" t="str">
        <f t="shared" si="20"/>
        <v>Pass</v>
      </c>
      <c r="N424" s="2" t="str">
        <f t="shared" si="18"/>
        <v>Stable</v>
      </c>
    </row>
    <row r="425" spans="1:14" x14ac:dyDescent="0.3">
      <c r="A425" s="2" t="s">
        <v>628</v>
      </c>
      <c r="B425" s="2" t="s">
        <v>629</v>
      </c>
      <c r="C425" s="2" t="s">
        <v>21</v>
      </c>
      <c r="D425" s="2">
        <v>18</v>
      </c>
      <c r="E425" s="2" t="s">
        <v>37</v>
      </c>
      <c r="F425" s="2">
        <v>1</v>
      </c>
      <c r="G425" s="2">
        <v>67</v>
      </c>
      <c r="H425" s="2">
        <v>79</v>
      </c>
      <c r="I425" s="2">
        <v>96</v>
      </c>
      <c r="J425" s="2">
        <v>99.71</v>
      </c>
      <c r="K425" s="2" t="s">
        <v>18</v>
      </c>
      <c r="L425" s="1">
        <f t="shared" si="19"/>
        <v>80.666666666666671</v>
      </c>
      <c r="M425" s="2" t="str">
        <f t="shared" si="20"/>
        <v>Pass</v>
      </c>
      <c r="N425" s="2" t="str">
        <f t="shared" si="18"/>
        <v>Stable</v>
      </c>
    </row>
    <row r="426" spans="1:14" x14ac:dyDescent="0.3">
      <c r="A426" s="2" t="s">
        <v>630</v>
      </c>
      <c r="B426" s="2" t="s">
        <v>245</v>
      </c>
      <c r="C426" s="2" t="s">
        <v>21</v>
      </c>
      <c r="D426" s="2">
        <v>20</v>
      </c>
      <c r="E426" s="2" t="s">
        <v>27</v>
      </c>
      <c r="F426" s="2">
        <v>2</v>
      </c>
      <c r="G426" s="2">
        <v>50</v>
      </c>
      <c r="H426" s="2">
        <v>47</v>
      </c>
      <c r="I426" s="2">
        <v>45</v>
      </c>
      <c r="J426" s="2">
        <v>96.58</v>
      </c>
      <c r="K426" s="2" t="s">
        <v>55</v>
      </c>
      <c r="L426" s="1">
        <f t="shared" si="19"/>
        <v>47.333333333333336</v>
      </c>
      <c r="M426" s="2" t="str">
        <f t="shared" si="20"/>
        <v>Pass</v>
      </c>
      <c r="N426" s="2" t="str">
        <f t="shared" si="18"/>
        <v>Monitor</v>
      </c>
    </row>
    <row r="427" spans="1:14" x14ac:dyDescent="0.3">
      <c r="A427" s="2" t="s">
        <v>631</v>
      </c>
      <c r="B427" s="2" t="s">
        <v>194</v>
      </c>
      <c r="C427" s="2" t="s">
        <v>16</v>
      </c>
      <c r="D427" s="2">
        <v>22</v>
      </c>
      <c r="E427" s="2" t="s">
        <v>50</v>
      </c>
      <c r="F427" s="2">
        <v>5</v>
      </c>
      <c r="G427" s="2">
        <v>81</v>
      </c>
      <c r="H427" s="2">
        <v>39</v>
      </c>
      <c r="I427" s="2">
        <v>84</v>
      </c>
      <c r="J427" s="2">
        <v>75.61</v>
      </c>
      <c r="K427" s="2" t="s">
        <v>22</v>
      </c>
      <c r="L427" s="1">
        <f t="shared" si="19"/>
        <v>68</v>
      </c>
      <c r="M427" s="2" t="str">
        <f t="shared" si="20"/>
        <v>Fail</v>
      </c>
      <c r="N427" s="2" t="str">
        <f t="shared" si="18"/>
        <v>High Risk</v>
      </c>
    </row>
    <row r="428" spans="1:14" x14ac:dyDescent="0.3">
      <c r="A428" s="2" t="s">
        <v>632</v>
      </c>
      <c r="B428" s="2" t="s">
        <v>258</v>
      </c>
      <c r="C428" s="2" t="s">
        <v>21</v>
      </c>
      <c r="D428" s="2">
        <v>22</v>
      </c>
      <c r="E428" s="2" t="s">
        <v>27</v>
      </c>
      <c r="F428" s="2">
        <v>1</v>
      </c>
      <c r="G428" s="2">
        <v>79</v>
      </c>
      <c r="H428" s="2">
        <v>72</v>
      </c>
      <c r="I428" s="2">
        <v>78</v>
      </c>
      <c r="J428" s="2">
        <v>64.95</v>
      </c>
      <c r="K428" s="2" t="s">
        <v>28</v>
      </c>
      <c r="L428" s="1">
        <f t="shared" si="19"/>
        <v>76.333333333333329</v>
      </c>
      <c r="M428" s="2" t="str">
        <f t="shared" si="20"/>
        <v>Pass</v>
      </c>
      <c r="N428" s="2" t="str">
        <f t="shared" si="18"/>
        <v>Stable</v>
      </c>
    </row>
    <row r="429" spans="1:14" x14ac:dyDescent="0.3">
      <c r="A429" s="2" t="s">
        <v>633</v>
      </c>
      <c r="B429" s="2" t="s">
        <v>403</v>
      </c>
      <c r="C429" s="2" t="s">
        <v>21</v>
      </c>
      <c r="D429" s="2">
        <v>18</v>
      </c>
      <c r="E429" s="2" t="s">
        <v>34</v>
      </c>
      <c r="F429" s="2">
        <v>1</v>
      </c>
      <c r="G429" s="2">
        <v>74</v>
      </c>
      <c r="H429" s="2">
        <v>55</v>
      </c>
      <c r="I429" s="2">
        <v>73</v>
      </c>
      <c r="J429" s="2">
        <v>70.930000000000007</v>
      </c>
      <c r="K429" s="2" t="s">
        <v>22</v>
      </c>
      <c r="L429" s="1">
        <f t="shared" si="19"/>
        <v>67.333333333333329</v>
      </c>
      <c r="M429" s="2" t="str">
        <f t="shared" si="20"/>
        <v>Pass</v>
      </c>
      <c r="N429" s="2" t="str">
        <f t="shared" si="18"/>
        <v>Stable</v>
      </c>
    </row>
    <row r="430" spans="1:14" x14ac:dyDescent="0.3">
      <c r="A430" s="2" t="s">
        <v>634</v>
      </c>
      <c r="B430" s="2" t="s">
        <v>299</v>
      </c>
      <c r="C430" s="2" t="s">
        <v>16</v>
      </c>
      <c r="D430" s="2">
        <v>18</v>
      </c>
      <c r="E430" s="2" t="s">
        <v>37</v>
      </c>
      <c r="F430" s="2">
        <v>1</v>
      </c>
      <c r="G430" s="2">
        <v>45</v>
      </c>
      <c r="H430" s="2">
        <v>41</v>
      </c>
      <c r="I430" s="2">
        <v>41</v>
      </c>
      <c r="J430" s="2">
        <v>84.02</v>
      </c>
      <c r="K430" s="2" t="s">
        <v>55</v>
      </c>
      <c r="L430" s="1">
        <f t="shared" si="19"/>
        <v>42.333333333333336</v>
      </c>
      <c r="M430" s="2" t="str">
        <f t="shared" si="20"/>
        <v>Pass</v>
      </c>
      <c r="N430" s="2" t="str">
        <f t="shared" si="18"/>
        <v>Monitor</v>
      </c>
    </row>
    <row r="431" spans="1:14" x14ac:dyDescent="0.3">
      <c r="A431" s="2" t="s">
        <v>635</v>
      </c>
      <c r="B431" s="2" t="s">
        <v>62</v>
      </c>
      <c r="C431" s="2" t="s">
        <v>21</v>
      </c>
      <c r="D431" s="2">
        <v>22</v>
      </c>
      <c r="E431" s="2" t="s">
        <v>37</v>
      </c>
      <c r="F431" s="2">
        <v>1</v>
      </c>
      <c r="G431" s="2">
        <v>68</v>
      </c>
      <c r="H431" s="2">
        <v>93</v>
      </c>
      <c r="I431" s="2">
        <v>58</v>
      </c>
      <c r="J431" s="2">
        <v>60.34</v>
      </c>
      <c r="K431" s="2" t="s">
        <v>28</v>
      </c>
      <c r="L431" s="1">
        <f t="shared" si="19"/>
        <v>73</v>
      </c>
      <c r="M431" s="2" t="str">
        <f t="shared" si="20"/>
        <v>Pass</v>
      </c>
      <c r="N431" s="2" t="str">
        <f t="shared" si="18"/>
        <v>Stable</v>
      </c>
    </row>
    <row r="432" spans="1:14" x14ac:dyDescent="0.3">
      <c r="A432" s="2" t="s">
        <v>636</v>
      </c>
      <c r="B432" s="2" t="s">
        <v>637</v>
      </c>
      <c r="C432" s="2" t="s">
        <v>21</v>
      </c>
      <c r="D432" s="2">
        <v>18</v>
      </c>
      <c r="E432" s="2" t="s">
        <v>34</v>
      </c>
      <c r="F432" s="2">
        <v>1</v>
      </c>
      <c r="G432" s="2">
        <v>54</v>
      </c>
      <c r="H432" s="2">
        <v>59</v>
      </c>
      <c r="I432" s="2">
        <v>81</v>
      </c>
      <c r="J432" s="2">
        <v>72.13</v>
      </c>
      <c r="K432" s="2" t="s">
        <v>22</v>
      </c>
      <c r="L432" s="1">
        <f t="shared" si="19"/>
        <v>64.666666666666671</v>
      </c>
      <c r="M432" s="2" t="str">
        <f t="shared" si="20"/>
        <v>Pass</v>
      </c>
      <c r="N432" s="2" t="str">
        <f t="shared" si="18"/>
        <v>Stable</v>
      </c>
    </row>
    <row r="433" spans="1:14" x14ac:dyDescent="0.3">
      <c r="A433" s="2" t="s">
        <v>638</v>
      </c>
      <c r="B433" s="2" t="s">
        <v>542</v>
      </c>
      <c r="C433" s="2" t="s">
        <v>21</v>
      </c>
      <c r="D433" s="2">
        <v>20</v>
      </c>
      <c r="E433" s="2" t="s">
        <v>34</v>
      </c>
      <c r="F433" s="2">
        <v>1</v>
      </c>
      <c r="G433" s="2">
        <v>37</v>
      </c>
      <c r="H433" s="2">
        <v>39</v>
      </c>
      <c r="I433" s="2">
        <v>57</v>
      </c>
      <c r="J433" s="2">
        <v>74.61</v>
      </c>
      <c r="K433" s="2" t="s">
        <v>55</v>
      </c>
      <c r="L433" s="1">
        <f t="shared" si="19"/>
        <v>44.333333333333336</v>
      </c>
      <c r="M433" s="2" t="str">
        <f t="shared" si="20"/>
        <v>Fail</v>
      </c>
      <c r="N433" s="2" t="str">
        <f t="shared" si="18"/>
        <v>High Risk</v>
      </c>
    </row>
    <row r="434" spans="1:14" x14ac:dyDescent="0.3">
      <c r="A434" s="2" t="s">
        <v>639</v>
      </c>
      <c r="B434" s="2" t="s">
        <v>293</v>
      </c>
      <c r="C434" s="2" t="s">
        <v>16</v>
      </c>
      <c r="D434" s="2">
        <v>23</v>
      </c>
      <c r="E434" s="2" t="s">
        <v>37</v>
      </c>
      <c r="F434" s="2">
        <v>1</v>
      </c>
      <c r="G434" s="2">
        <v>58</v>
      </c>
      <c r="H434" s="2">
        <v>98</v>
      </c>
      <c r="I434" s="2">
        <v>44</v>
      </c>
      <c r="J434" s="2">
        <v>75.099999999999994</v>
      </c>
      <c r="K434" s="2" t="s">
        <v>22</v>
      </c>
      <c r="L434" s="1">
        <f t="shared" si="19"/>
        <v>66.666666666666671</v>
      </c>
      <c r="M434" s="2" t="str">
        <f t="shared" si="20"/>
        <v>Pass</v>
      </c>
      <c r="N434" s="2" t="str">
        <f t="shared" si="18"/>
        <v>Stable</v>
      </c>
    </row>
    <row r="435" spans="1:14" x14ac:dyDescent="0.3">
      <c r="A435" s="2" t="s">
        <v>640</v>
      </c>
      <c r="B435" s="2" t="s">
        <v>223</v>
      </c>
      <c r="C435" s="2" t="s">
        <v>16</v>
      </c>
      <c r="D435" s="2">
        <v>22</v>
      </c>
      <c r="E435" s="2" t="s">
        <v>50</v>
      </c>
      <c r="F435" s="2">
        <v>4</v>
      </c>
      <c r="G435" s="2">
        <v>76</v>
      </c>
      <c r="H435" s="2">
        <v>55</v>
      </c>
      <c r="I435" s="2">
        <v>62</v>
      </c>
      <c r="J435" s="2">
        <v>69.02</v>
      </c>
      <c r="K435" s="2" t="s">
        <v>22</v>
      </c>
      <c r="L435" s="1">
        <f t="shared" si="19"/>
        <v>64.333333333333329</v>
      </c>
      <c r="M435" s="2" t="str">
        <f t="shared" si="20"/>
        <v>Pass</v>
      </c>
      <c r="N435" s="2" t="str">
        <f t="shared" si="18"/>
        <v>Stable</v>
      </c>
    </row>
    <row r="436" spans="1:14" x14ac:dyDescent="0.3">
      <c r="A436" s="2" t="s">
        <v>641</v>
      </c>
      <c r="B436" s="2" t="s">
        <v>242</v>
      </c>
      <c r="C436" s="2" t="s">
        <v>16</v>
      </c>
      <c r="D436" s="2">
        <v>22</v>
      </c>
      <c r="E436" s="2" t="s">
        <v>17</v>
      </c>
      <c r="F436" s="2">
        <v>1</v>
      </c>
      <c r="G436" s="2">
        <v>67</v>
      </c>
      <c r="H436" s="2">
        <v>46</v>
      </c>
      <c r="I436" s="2">
        <v>84</v>
      </c>
      <c r="J436" s="2">
        <v>82.11</v>
      </c>
      <c r="K436" s="2" t="s">
        <v>22</v>
      </c>
      <c r="L436" s="1">
        <f t="shared" si="19"/>
        <v>65.666666666666671</v>
      </c>
      <c r="M436" s="2" t="str">
        <f t="shared" si="20"/>
        <v>Pass</v>
      </c>
      <c r="N436" s="2" t="str">
        <f t="shared" si="18"/>
        <v>Stable</v>
      </c>
    </row>
    <row r="437" spans="1:14" x14ac:dyDescent="0.3">
      <c r="A437" s="2" t="s">
        <v>642</v>
      </c>
      <c r="B437" s="2" t="s">
        <v>643</v>
      </c>
      <c r="C437" s="2" t="s">
        <v>21</v>
      </c>
      <c r="D437" s="2">
        <v>20</v>
      </c>
      <c r="E437" s="2" t="s">
        <v>34</v>
      </c>
      <c r="F437" s="2">
        <v>5</v>
      </c>
      <c r="G437" s="2">
        <v>91</v>
      </c>
      <c r="H437" s="2">
        <v>68</v>
      </c>
      <c r="I437" s="2">
        <v>67</v>
      </c>
      <c r="J437" s="2">
        <v>91.87</v>
      </c>
      <c r="K437" s="2" t="s">
        <v>28</v>
      </c>
      <c r="L437" s="1">
        <f t="shared" si="19"/>
        <v>75.333333333333329</v>
      </c>
      <c r="M437" s="2" t="str">
        <f t="shared" si="20"/>
        <v>Pass</v>
      </c>
      <c r="N437" s="2" t="str">
        <f t="shared" si="18"/>
        <v>Stable</v>
      </c>
    </row>
    <row r="438" spans="1:14" x14ac:dyDescent="0.3">
      <c r="A438" s="2" t="s">
        <v>644</v>
      </c>
      <c r="B438" s="2" t="s">
        <v>225</v>
      </c>
      <c r="C438" s="2" t="s">
        <v>16</v>
      </c>
      <c r="D438" s="2">
        <v>23</v>
      </c>
      <c r="E438" s="2" t="s">
        <v>50</v>
      </c>
      <c r="F438" s="2">
        <v>5</v>
      </c>
      <c r="G438" s="2">
        <v>84</v>
      </c>
      <c r="H438" s="2">
        <v>52</v>
      </c>
      <c r="I438" s="2">
        <v>52</v>
      </c>
      <c r="J438" s="2">
        <v>87.84</v>
      </c>
      <c r="K438" s="2" t="s">
        <v>22</v>
      </c>
      <c r="L438" s="1">
        <f t="shared" si="19"/>
        <v>62.666666666666664</v>
      </c>
      <c r="M438" s="2" t="str">
        <f t="shared" si="20"/>
        <v>Pass</v>
      </c>
      <c r="N438" s="2" t="str">
        <f t="shared" si="18"/>
        <v>Stable</v>
      </c>
    </row>
    <row r="439" spans="1:14" x14ac:dyDescent="0.3">
      <c r="A439" s="2" t="s">
        <v>645</v>
      </c>
      <c r="B439" s="2" t="s">
        <v>62</v>
      </c>
      <c r="C439" s="2" t="s">
        <v>16</v>
      </c>
      <c r="D439" s="2">
        <v>20</v>
      </c>
      <c r="E439" s="2" t="s">
        <v>27</v>
      </c>
      <c r="F439" s="2">
        <v>3</v>
      </c>
      <c r="G439" s="2">
        <v>95</v>
      </c>
      <c r="H439" s="2">
        <v>87</v>
      </c>
      <c r="I439" s="2">
        <v>86</v>
      </c>
      <c r="J439" s="2">
        <v>97.23</v>
      </c>
      <c r="K439" s="2" t="s">
        <v>18</v>
      </c>
      <c r="L439" s="1">
        <f t="shared" si="19"/>
        <v>89.333333333333329</v>
      </c>
      <c r="M439" s="2" t="str">
        <f t="shared" si="20"/>
        <v>Pass</v>
      </c>
      <c r="N439" s="2" t="str">
        <f t="shared" si="18"/>
        <v>Stable</v>
      </c>
    </row>
    <row r="440" spans="1:14" x14ac:dyDescent="0.3">
      <c r="A440" s="2" t="s">
        <v>646</v>
      </c>
      <c r="B440" s="2" t="s">
        <v>15</v>
      </c>
      <c r="C440" s="2" t="s">
        <v>16</v>
      </c>
      <c r="D440" s="2">
        <v>18</v>
      </c>
      <c r="E440" s="2" t="s">
        <v>34</v>
      </c>
      <c r="F440" s="2">
        <v>3</v>
      </c>
      <c r="G440" s="2">
        <v>85</v>
      </c>
      <c r="H440" s="2">
        <v>99</v>
      </c>
      <c r="I440" s="2">
        <v>56</v>
      </c>
      <c r="J440" s="2">
        <v>74.47</v>
      </c>
      <c r="K440" s="2" t="s">
        <v>18</v>
      </c>
      <c r="L440" s="1">
        <f t="shared" si="19"/>
        <v>80</v>
      </c>
      <c r="M440" s="2" t="str">
        <f t="shared" si="20"/>
        <v>Pass</v>
      </c>
      <c r="N440" s="2" t="str">
        <f t="shared" si="18"/>
        <v>Stable</v>
      </c>
    </row>
    <row r="441" spans="1:14" x14ac:dyDescent="0.3">
      <c r="A441" s="2" t="s">
        <v>647</v>
      </c>
      <c r="B441" s="2" t="s">
        <v>333</v>
      </c>
      <c r="C441" s="2" t="s">
        <v>16</v>
      </c>
      <c r="D441" s="2">
        <v>21</v>
      </c>
      <c r="E441" s="2" t="s">
        <v>34</v>
      </c>
      <c r="F441" s="2">
        <v>3</v>
      </c>
      <c r="G441" s="2">
        <v>70</v>
      </c>
      <c r="H441" s="2">
        <v>93</v>
      </c>
      <c r="I441" s="2">
        <v>45</v>
      </c>
      <c r="J441" s="2">
        <v>70.11</v>
      </c>
      <c r="K441" s="2" t="s">
        <v>22</v>
      </c>
      <c r="L441" s="1">
        <f t="shared" si="19"/>
        <v>69.333333333333329</v>
      </c>
      <c r="M441" s="2" t="str">
        <f t="shared" si="20"/>
        <v>Pass</v>
      </c>
      <c r="N441" s="2" t="str">
        <f t="shared" si="18"/>
        <v>Stable</v>
      </c>
    </row>
    <row r="442" spans="1:14" x14ac:dyDescent="0.3">
      <c r="A442" s="2" t="s">
        <v>648</v>
      </c>
      <c r="B442" s="2" t="s">
        <v>344</v>
      </c>
      <c r="C442" s="2" t="s">
        <v>21</v>
      </c>
      <c r="D442" s="2">
        <v>20</v>
      </c>
      <c r="E442" s="2" t="s">
        <v>34</v>
      </c>
      <c r="F442" s="2">
        <v>2</v>
      </c>
      <c r="G442" s="2">
        <v>79</v>
      </c>
      <c r="H442" s="2">
        <v>83</v>
      </c>
      <c r="I442" s="2">
        <v>64</v>
      </c>
      <c r="J442" s="2">
        <v>70.37</v>
      </c>
      <c r="K442" s="2" t="s">
        <v>28</v>
      </c>
      <c r="L442" s="1">
        <f t="shared" si="19"/>
        <v>75.333333333333329</v>
      </c>
      <c r="M442" s="2" t="str">
        <f t="shared" si="20"/>
        <v>Pass</v>
      </c>
      <c r="N442" s="2" t="str">
        <f t="shared" si="18"/>
        <v>Stable</v>
      </c>
    </row>
    <row r="443" spans="1:14" x14ac:dyDescent="0.3">
      <c r="A443" s="2" t="s">
        <v>649</v>
      </c>
      <c r="B443" s="2" t="s">
        <v>153</v>
      </c>
      <c r="C443" s="2" t="s">
        <v>21</v>
      </c>
      <c r="D443" s="2">
        <v>18</v>
      </c>
      <c r="E443" s="2" t="s">
        <v>17</v>
      </c>
      <c r="F443" s="2">
        <v>3</v>
      </c>
      <c r="G443" s="2">
        <v>79</v>
      </c>
      <c r="H443" s="2">
        <v>39</v>
      </c>
      <c r="I443" s="2">
        <v>50</v>
      </c>
      <c r="J443" s="2">
        <v>78.98</v>
      </c>
      <c r="K443" s="2" t="s">
        <v>31</v>
      </c>
      <c r="L443" s="1">
        <f t="shared" si="19"/>
        <v>56</v>
      </c>
      <c r="M443" s="2" t="str">
        <f t="shared" si="20"/>
        <v>Fail</v>
      </c>
      <c r="N443" s="2" t="str">
        <f t="shared" si="18"/>
        <v>High Risk</v>
      </c>
    </row>
    <row r="444" spans="1:14" x14ac:dyDescent="0.3">
      <c r="A444" s="2" t="s">
        <v>650</v>
      </c>
      <c r="B444" s="2" t="s">
        <v>627</v>
      </c>
      <c r="C444" s="2" t="s">
        <v>16</v>
      </c>
      <c r="D444" s="2">
        <v>22</v>
      </c>
      <c r="E444" s="2" t="s">
        <v>27</v>
      </c>
      <c r="F444" s="2">
        <v>4</v>
      </c>
      <c r="G444" s="2">
        <v>47</v>
      </c>
      <c r="H444" s="2">
        <v>62</v>
      </c>
      <c r="I444" s="2">
        <v>96</v>
      </c>
      <c r="J444" s="2">
        <v>61.72</v>
      </c>
      <c r="K444" s="2" t="s">
        <v>22</v>
      </c>
      <c r="L444" s="1">
        <f t="shared" si="19"/>
        <v>68.333333333333329</v>
      </c>
      <c r="M444" s="2" t="str">
        <f t="shared" si="20"/>
        <v>Pass</v>
      </c>
      <c r="N444" s="2" t="str">
        <f t="shared" si="18"/>
        <v>Stable</v>
      </c>
    </row>
    <row r="445" spans="1:14" x14ac:dyDescent="0.3">
      <c r="A445" s="2" t="s">
        <v>651</v>
      </c>
      <c r="B445" s="2" t="s">
        <v>563</v>
      </c>
      <c r="C445" s="2" t="s">
        <v>21</v>
      </c>
      <c r="D445" s="2">
        <v>18</v>
      </c>
      <c r="E445" s="2" t="s">
        <v>50</v>
      </c>
      <c r="F445" s="2">
        <v>5</v>
      </c>
      <c r="G445" s="2">
        <v>80</v>
      </c>
      <c r="H445" s="2">
        <v>38</v>
      </c>
      <c r="I445" s="2">
        <v>47</v>
      </c>
      <c r="J445" s="2">
        <v>85.52</v>
      </c>
      <c r="K445" s="2" t="s">
        <v>31</v>
      </c>
      <c r="L445" s="1">
        <f t="shared" si="19"/>
        <v>55</v>
      </c>
      <c r="M445" s="2" t="str">
        <f t="shared" si="20"/>
        <v>Fail</v>
      </c>
      <c r="N445" s="2" t="str">
        <f t="shared" si="18"/>
        <v>High Risk</v>
      </c>
    </row>
    <row r="446" spans="1:14" x14ac:dyDescent="0.3">
      <c r="A446" s="2" t="s">
        <v>652</v>
      </c>
      <c r="B446" s="2" t="s">
        <v>215</v>
      </c>
      <c r="C446" s="2" t="s">
        <v>21</v>
      </c>
      <c r="D446" s="2">
        <v>18</v>
      </c>
      <c r="E446" s="2" t="s">
        <v>27</v>
      </c>
      <c r="F446" s="2">
        <v>4</v>
      </c>
      <c r="G446" s="2">
        <v>70</v>
      </c>
      <c r="H446" s="2">
        <v>51</v>
      </c>
      <c r="I446" s="2">
        <v>46</v>
      </c>
      <c r="J446" s="2">
        <v>72.900000000000006</v>
      </c>
      <c r="K446" s="2" t="s">
        <v>31</v>
      </c>
      <c r="L446" s="1">
        <f t="shared" si="19"/>
        <v>55.666666666666664</v>
      </c>
      <c r="M446" s="2" t="str">
        <f t="shared" si="20"/>
        <v>Pass</v>
      </c>
      <c r="N446" s="2" t="str">
        <f t="shared" si="18"/>
        <v>Monitor</v>
      </c>
    </row>
    <row r="447" spans="1:14" x14ac:dyDescent="0.3">
      <c r="A447" s="2" t="s">
        <v>653</v>
      </c>
      <c r="B447" s="2" t="s">
        <v>121</v>
      </c>
      <c r="C447" s="2" t="s">
        <v>16</v>
      </c>
      <c r="D447" s="2">
        <v>18</v>
      </c>
      <c r="E447" s="2" t="s">
        <v>34</v>
      </c>
      <c r="F447" s="2">
        <v>6</v>
      </c>
      <c r="G447" s="2">
        <v>71</v>
      </c>
      <c r="H447" s="2">
        <v>87</v>
      </c>
      <c r="I447" s="2">
        <v>82</v>
      </c>
      <c r="J447" s="2">
        <v>72.39</v>
      </c>
      <c r="K447" s="2" t="s">
        <v>18</v>
      </c>
      <c r="L447" s="1">
        <f t="shared" si="19"/>
        <v>80</v>
      </c>
      <c r="M447" s="2" t="str">
        <f t="shared" si="20"/>
        <v>Pass</v>
      </c>
      <c r="N447" s="2" t="str">
        <f t="shared" si="18"/>
        <v>Stable</v>
      </c>
    </row>
    <row r="448" spans="1:14" x14ac:dyDescent="0.3">
      <c r="A448" s="2" t="s">
        <v>654</v>
      </c>
      <c r="B448" s="2" t="s">
        <v>447</v>
      </c>
      <c r="C448" s="2" t="s">
        <v>21</v>
      </c>
      <c r="D448" s="2">
        <v>18</v>
      </c>
      <c r="E448" s="2" t="s">
        <v>27</v>
      </c>
      <c r="F448" s="2">
        <v>4</v>
      </c>
      <c r="G448" s="2">
        <v>80</v>
      </c>
      <c r="H448" s="2">
        <v>60</v>
      </c>
      <c r="I448" s="2">
        <v>44</v>
      </c>
      <c r="J448" s="2">
        <v>83.66</v>
      </c>
      <c r="K448" s="2" t="s">
        <v>22</v>
      </c>
      <c r="L448" s="1">
        <f t="shared" si="19"/>
        <v>61.333333333333336</v>
      </c>
      <c r="M448" s="2" t="str">
        <f t="shared" si="20"/>
        <v>Pass</v>
      </c>
      <c r="N448" s="2" t="str">
        <f t="shared" si="18"/>
        <v>Stable</v>
      </c>
    </row>
    <row r="449" spans="1:14" x14ac:dyDescent="0.3">
      <c r="A449" s="2" t="s">
        <v>655</v>
      </c>
      <c r="B449" s="2" t="s">
        <v>240</v>
      </c>
      <c r="C449" s="2" t="s">
        <v>16</v>
      </c>
      <c r="D449" s="2">
        <v>19</v>
      </c>
      <c r="E449" s="2" t="s">
        <v>50</v>
      </c>
      <c r="F449" s="2">
        <v>2</v>
      </c>
      <c r="G449" s="2">
        <v>84</v>
      </c>
      <c r="H449" s="2">
        <v>90</v>
      </c>
      <c r="I449" s="2">
        <v>94</v>
      </c>
      <c r="J449" s="2">
        <v>74.72</v>
      </c>
      <c r="K449" s="2" t="s">
        <v>18</v>
      </c>
      <c r="L449" s="1">
        <f t="shared" si="19"/>
        <v>89.333333333333329</v>
      </c>
      <c r="M449" s="2" t="str">
        <f t="shared" si="20"/>
        <v>Pass</v>
      </c>
      <c r="N449" s="2" t="str">
        <f t="shared" si="18"/>
        <v>Stable</v>
      </c>
    </row>
    <row r="450" spans="1:14" x14ac:dyDescent="0.3">
      <c r="A450" s="2" t="s">
        <v>656</v>
      </c>
      <c r="B450" s="2" t="s">
        <v>496</v>
      </c>
      <c r="C450" s="2" t="s">
        <v>16</v>
      </c>
      <c r="D450" s="2">
        <v>23</v>
      </c>
      <c r="E450" s="2" t="s">
        <v>27</v>
      </c>
      <c r="F450" s="2">
        <v>5</v>
      </c>
      <c r="G450" s="2">
        <v>98</v>
      </c>
      <c r="H450" s="2">
        <v>57</v>
      </c>
      <c r="I450" s="2">
        <v>58</v>
      </c>
      <c r="J450" s="2">
        <v>85.47</v>
      </c>
      <c r="K450" s="2" t="s">
        <v>28</v>
      </c>
      <c r="L450" s="1">
        <f t="shared" si="19"/>
        <v>71</v>
      </c>
      <c r="M450" s="2" t="str">
        <f t="shared" si="20"/>
        <v>Pass</v>
      </c>
      <c r="N450" s="2" t="str">
        <f t="shared" ref="N450:N513" si="21">_xlfn.IFS(M450="Fail", "High Risk", L450&lt;60, "Monitor", TRUE, "Stable")</f>
        <v>Stable</v>
      </c>
    </row>
    <row r="451" spans="1:14" x14ac:dyDescent="0.3">
      <c r="A451" s="2" t="s">
        <v>657</v>
      </c>
      <c r="B451" s="2" t="s">
        <v>240</v>
      </c>
      <c r="C451" s="2" t="s">
        <v>21</v>
      </c>
      <c r="D451" s="2">
        <v>23</v>
      </c>
      <c r="E451" s="2" t="s">
        <v>37</v>
      </c>
      <c r="F451" s="2">
        <v>6</v>
      </c>
      <c r="G451" s="2">
        <v>41</v>
      </c>
      <c r="H451" s="2">
        <v>43</v>
      </c>
      <c r="I451" s="2">
        <v>58</v>
      </c>
      <c r="J451" s="2">
        <v>70.88</v>
      </c>
      <c r="K451" s="2" t="s">
        <v>55</v>
      </c>
      <c r="L451" s="1">
        <f t="shared" si="19"/>
        <v>47.333333333333336</v>
      </c>
      <c r="M451" s="2" t="str">
        <f t="shared" si="20"/>
        <v>Pass</v>
      </c>
      <c r="N451" s="2" t="str">
        <f t="shared" si="21"/>
        <v>Monitor</v>
      </c>
    </row>
    <row r="452" spans="1:14" x14ac:dyDescent="0.3">
      <c r="A452" s="2" t="s">
        <v>658</v>
      </c>
      <c r="B452" s="2" t="s">
        <v>26</v>
      </c>
      <c r="C452" s="2" t="s">
        <v>16</v>
      </c>
      <c r="D452" s="2">
        <v>20</v>
      </c>
      <c r="E452" s="2" t="s">
        <v>37</v>
      </c>
      <c r="F452" s="2">
        <v>5</v>
      </c>
      <c r="G452" s="2">
        <v>44</v>
      </c>
      <c r="H452" s="2">
        <v>45</v>
      </c>
      <c r="I452" s="2">
        <v>45</v>
      </c>
      <c r="J452" s="2">
        <v>64</v>
      </c>
      <c r="K452" s="2" t="s">
        <v>55</v>
      </c>
      <c r="L452" s="1">
        <f t="shared" ref="L452:L515" si="22">AVERAGE(G452:I452)</f>
        <v>44.666666666666664</v>
      </c>
      <c r="M452" s="2" t="str">
        <f t="shared" ref="M452:M515" si="23">IF(OR(G452&lt;40, H452&lt;40, I452&lt;40), "Fail", "Pass")</f>
        <v>Pass</v>
      </c>
      <c r="N452" s="2" t="str">
        <f t="shared" si="21"/>
        <v>Monitor</v>
      </c>
    </row>
    <row r="453" spans="1:14" x14ac:dyDescent="0.3">
      <c r="A453" s="2" t="s">
        <v>659</v>
      </c>
      <c r="B453" s="2" t="s">
        <v>660</v>
      </c>
      <c r="C453" s="2" t="s">
        <v>21</v>
      </c>
      <c r="D453" s="2">
        <v>20</v>
      </c>
      <c r="E453" s="2" t="s">
        <v>50</v>
      </c>
      <c r="F453" s="2">
        <v>4</v>
      </c>
      <c r="G453" s="2">
        <v>76</v>
      </c>
      <c r="H453" s="2">
        <v>37</v>
      </c>
      <c r="I453" s="2">
        <v>93</v>
      </c>
      <c r="J453" s="2">
        <v>91.84</v>
      </c>
      <c r="K453" s="2" t="s">
        <v>22</v>
      </c>
      <c r="L453" s="1">
        <f t="shared" si="22"/>
        <v>68.666666666666671</v>
      </c>
      <c r="M453" s="2" t="str">
        <f t="shared" si="23"/>
        <v>Fail</v>
      </c>
      <c r="N453" s="2" t="str">
        <f t="shared" si="21"/>
        <v>High Risk</v>
      </c>
    </row>
    <row r="454" spans="1:14" x14ac:dyDescent="0.3">
      <c r="A454" s="2" t="s">
        <v>661</v>
      </c>
      <c r="B454" s="2" t="s">
        <v>168</v>
      </c>
      <c r="C454" s="2" t="s">
        <v>21</v>
      </c>
      <c r="D454" s="2">
        <v>19</v>
      </c>
      <c r="E454" s="2" t="s">
        <v>37</v>
      </c>
      <c r="F454" s="2">
        <v>1</v>
      </c>
      <c r="G454" s="2">
        <v>93</v>
      </c>
      <c r="H454" s="2">
        <v>59</v>
      </c>
      <c r="I454" s="2">
        <v>35</v>
      </c>
      <c r="J454" s="2">
        <v>89.47</v>
      </c>
      <c r="K454" s="2" t="s">
        <v>22</v>
      </c>
      <c r="L454" s="1">
        <f t="shared" si="22"/>
        <v>62.333333333333336</v>
      </c>
      <c r="M454" s="2" t="str">
        <f t="shared" si="23"/>
        <v>Fail</v>
      </c>
      <c r="N454" s="2" t="str">
        <f t="shared" si="21"/>
        <v>High Risk</v>
      </c>
    </row>
    <row r="455" spans="1:14" x14ac:dyDescent="0.3">
      <c r="A455" s="2" t="s">
        <v>662</v>
      </c>
      <c r="B455" s="2" t="s">
        <v>255</v>
      </c>
      <c r="C455" s="2" t="s">
        <v>16</v>
      </c>
      <c r="D455" s="2">
        <v>22</v>
      </c>
      <c r="E455" s="2" t="s">
        <v>50</v>
      </c>
      <c r="F455" s="2">
        <v>5</v>
      </c>
      <c r="G455" s="2">
        <v>52</v>
      </c>
      <c r="H455" s="2">
        <v>100</v>
      </c>
      <c r="I455" s="2">
        <v>40</v>
      </c>
      <c r="J455" s="2">
        <v>80.790000000000006</v>
      </c>
      <c r="K455" s="2" t="s">
        <v>22</v>
      </c>
      <c r="L455" s="1">
        <f t="shared" si="22"/>
        <v>64</v>
      </c>
      <c r="M455" s="2" t="str">
        <f t="shared" si="23"/>
        <v>Pass</v>
      </c>
      <c r="N455" s="2" t="str">
        <f t="shared" si="21"/>
        <v>Stable</v>
      </c>
    </row>
    <row r="456" spans="1:14" x14ac:dyDescent="0.3">
      <c r="A456" s="2" t="s">
        <v>663</v>
      </c>
      <c r="B456" s="2" t="s">
        <v>331</v>
      </c>
      <c r="C456" s="2" t="s">
        <v>21</v>
      </c>
      <c r="D456" s="2">
        <v>22</v>
      </c>
      <c r="E456" s="2" t="s">
        <v>27</v>
      </c>
      <c r="F456" s="2">
        <v>2</v>
      </c>
      <c r="G456" s="2">
        <v>99</v>
      </c>
      <c r="H456" s="2">
        <v>63</v>
      </c>
      <c r="I456" s="2">
        <v>84</v>
      </c>
      <c r="J456" s="2">
        <v>83.64</v>
      </c>
      <c r="K456" s="2" t="s">
        <v>18</v>
      </c>
      <c r="L456" s="1">
        <f t="shared" si="22"/>
        <v>82</v>
      </c>
      <c r="M456" s="2" t="str">
        <f t="shared" si="23"/>
        <v>Pass</v>
      </c>
      <c r="N456" s="2" t="str">
        <f t="shared" si="21"/>
        <v>Stable</v>
      </c>
    </row>
    <row r="457" spans="1:14" x14ac:dyDescent="0.3">
      <c r="A457" s="2" t="s">
        <v>664</v>
      </c>
      <c r="B457" s="2" t="s">
        <v>174</v>
      </c>
      <c r="C457" s="2" t="s">
        <v>16</v>
      </c>
      <c r="D457" s="2">
        <v>20</v>
      </c>
      <c r="E457" s="2" t="s">
        <v>34</v>
      </c>
      <c r="F457" s="2">
        <v>4</v>
      </c>
      <c r="G457" s="2">
        <v>61</v>
      </c>
      <c r="H457" s="2">
        <v>60</v>
      </c>
      <c r="I457" s="2">
        <v>43</v>
      </c>
      <c r="J457" s="2">
        <v>94.35</v>
      </c>
      <c r="K457" s="2" t="s">
        <v>31</v>
      </c>
      <c r="L457" s="1">
        <f t="shared" si="22"/>
        <v>54.666666666666664</v>
      </c>
      <c r="M457" s="2" t="str">
        <f t="shared" si="23"/>
        <v>Pass</v>
      </c>
      <c r="N457" s="2" t="str">
        <f t="shared" si="21"/>
        <v>Monitor</v>
      </c>
    </row>
    <row r="458" spans="1:14" x14ac:dyDescent="0.3">
      <c r="A458" s="2" t="s">
        <v>665</v>
      </c>
      <c r="B458" s="2" t="s">
        <v>466</v>
      </c>
      <c r="C458" s="2" t="s">
        <v>16</v>
      </c>
      <c r="D458" s="2">
        <v>22</v>
      </c>
      <c r="E458" s="2" t="s">
        <v>17</v>
      </c>
      <c r="F458" s="2">
        <v>6</v>
      </c>
      <c r="G458" s="2">
        <v>93</v>
      </c>
      <c r="H458" s="2">
        <v>50</v>
      </c>
      <c r="I458" s="2">
        <v>41</v>
      </c>
      <c r="J458" s="2">
        <v>77.34</v>
      </c>
      <c r="K458" s="2" t="s">
        <v>22</v>
      </c>
      <c r="L458" s="1">
        <f t="shared" si="22"/>
        <v>61.333333333333336</v>
      </c>
      <c r="M458" s="2" t="str">
        <f t="shared" si="23"/>
        <v>Pass</v>
      </c>
      <c r="N458" s="2" t="str">
        <f t="shared" si="21"/>
        <v>Stable</v>
      </c>
    </row>
    <row r="459" spans="1:14" x14ac:dyDescent="0.3">
      <c r="A459" s="2" t="s">
        <v>666</v>
      </c>
      <c r="B459" s="2" t="s">
        <v>66</v>
      </c>
      <c r="C459" s="2" t="s">
        <v>21</v>
      </c>
      <c r="D459" s="2">
        <v>20</v>
      </c>
      <c r="E459" s="2" t="s">
        <v>17</v>
      </c>
      <c r="F459" s="2">
        <v>6</v>
      </c>
      <c r="G459" s="2">
        <v>52</v>
      </c>
      <c r="H459" s="2">
        <v>46</v>
      </c>
      <c r="I459" s="2">
        <v>67</v>
      </c>
      <c r="J459" s="2">
        <v>93.88</v>
      </c>
      <c r="K459" s="2" t="s">
        <v>31</v>
      </c>
      <c r="L459" s="1">
        <f t="shared" si="22"/>
        <v>55</v>
      </c>
      <c r="M459" s="2" t="str">
        <f t="shared" si="23"/>
        <v>Pass</v>
      </c>
      <c r="N459" s="2" t="str">
        <f t="shared" si="21"/>
        <v>Monitor</v>
      </c>
    </row>
    <row r="460" spans="1:14" x14ac:dyDescent="0.3">
      <c r="A460" s="2" t="s">
        <v>667</v>
      </c>
      <c r="B460" s="2" t="s">
        <v>335</v>
      </c>
      <c r="C460" s="2" t="s">
        <v>16</v>
      </c>
      <c r="D460" s="2">
        <v>23</v>
      </c>
      <c r="E460" s="2" t="s">
        <v>34</v>
      </c>
      <c r="F460" s="2">
        <v>3</v>
      </c>
      <c r="G460" s="2">
        <v>59</v>
      </c>
      <c r="H460" s="2">
        <v>100</v>
      </c>
      <c r="I460" s="2">
        <v>80</v>
      </c>
      <c r="J460" s="2">
        <v>94.32</v>
      </c>
      <c r="K460" s="2" t="s">
        <v>28</v>
      </c>
      <c r="L460" s="1">
        <f t="shared" si="22"/>
        <v>79.666666666666671</v>
      </c>
      <c r="M460" s="2" t="str">
        <f t="shared" si="23"/>
        <v>Pass</v>
      </c>
      <c r="N460" s="2" t="str">
        <f t="shared" si="21"/>
        <v>Stable</v>
      </c>
    </row>
    <row r="461" spans="1:14" x14ac:dyDescent="0.3">
      <c r="A461" s="2" t="s">
        <v>668</v>
      </c>
      <c r="B461" s="2" t="s">
        <v>613</v>
      </c>
      <c r="C461" s="2" t="s">
        <v>21</v>
      </c>
      <c r="D461" s="2">
        <v>23</v>
      </c>
      <c r="E461" s="2" t="s">
        <v>27</v>
      </c>
      <c r="F461" s="2">
        <v>2</v>
      </c>
      <c r="G461" s="2">
        <v>62</v>
      </c>
      <c r="H461" s="2">
        <v>42</v>
      </c>
      <c r="I461" s="2">
        <v>66</v>
      </c>
      <c r="J461" s="2">
        <v>97.19</v>
      </c>
      <c r="K461" s="2" t="s">
        <v>31</v>
      </c>
      <c r="L461" s="1">
        <f t="shared" si="22"/>
        <v>56.666666666666664</v>
      </c>
      <c r="M461" s="2" t="str">
        <f t="shared" si="23"/>
        <v>Pass</v>
      </c>
      <c r="N461" s="2" t="str">
        <f t="shared" si="21"/>
        <v>Monitor</v>
      </c>
    </row>
    <row r="462" spans="1:14" x14ac:dyDescent="0.3">
      <c r="A462" s="2" t="s">
        <v>669</v>
      </c>
      <c r="B462" s="2" t="s">
        <v>440</v>
      </c>
      <c r="C462" s="2" t="s">
        <v>21</v>
      </c>
      <c r="D462" s="2">
        <v>23</v>
      </c>
      <c r="E462" s="2" t="s">
        <v>17</v>
      </c>
      <c r="F462" s="2">
        <v>3</v>
      </c>
      <c r="G462" s="2">
        <v>89</v>
      </c>
      <c r="H462" s="2">
        <v>58</v>
      </c>
      <c r="I462" s="2">
        <v>71</v>
      </c>
      <c r="J462" s="2">
        <v>87.64</v>
      </c>
      <c r="K462" s="2" t="s">
        <v>28</v>
      </c>
      <c r="L462" s="1">
        <f t="shared" si="22"/>
        <v>72.666666666666671</v>
      </c>
      <c r="M462" s="2" t="str">
        <f t="shared" si="23"/>
        <v>Pass</v>
      </c>
      <c r="N462" s="2" t="str">
        <f t="shared" si="21"/>
        <v>Stable</v>
      </c>
    </row>
    <row r="463" spans="1:14" x14ac:dyDescent="0.3">
      <c r="A463" s="2" t="s">
        <v>670</v>
      </c>
      <c r="B463" s="2" t="s">
        <v>364</v>
      </c>
      <c r="C463" s="2" t="s">
        <v>21</v>
      </c>
      <c r="D463" s="2">
        <v>18</v>
      </c>
      <c r="E463" s="2" t="s">
        <v>17</v>
      </c>
      <c r="F463" s="2">
        <v>1</v>
      </c>
      <c r="G463" s="2">
        <v>92</v>
      </c>
      <c r="H463" s="2">
        <v>80</v>
      </c>
      <c r="I463" s="2">
        <v>54</v>
      </c>
      <c r="J463" s="2">
        <v>92.29</v>
      </c>
      <c r="K463" s="2" t="s">
        <v>28</v>
      </c>
      <c r="L463" s="1">
        <f t="shared" si="22"/>
        <v>75.333333333333329</v>
      </c>
      <c r="M463" s="2" t="str">
        <f t="shared" si="23"/>
        <v>Pass</v>
      </c>
      <c r="N463" s="2" t="str">
        <f t="shared" si="21"/>
        <v>Stable</v>
      </c>
    </row>
    <row r="464" spans="1:14" x14ac:dyDescent="0.3">
      <c r="A464" s="2" t="s">
        <v>671</v>
      </c>
      <c r="B464" s="2" t="s">
        <v>672</v>
      </c>
      <c r="C464" s="2" t="s">
        <v>16</v>
      </c>
      <c r="D464" s="2">
        <v>21</v>
      </c>
      <c r="E464" s="2" t="s">
        <v>34</v>
      </c>
      <c r="F464" s="2">
        <v>2</v>
      </c>
      <c r="G464" s="2">
        <v>62</v>
      </c>
      <c r="H464" s="2">
        <v>64</v>
      </c>
      <c r="I464" s="2">
        <v>55</v>
      </c>
      <c r="J464" s="2">
        <v>97.4</v>
      </c>
      <c r="K464" s="2" t="s">
        <v>22</v>
      </c>
      <c r="L464" s="1">
        <f t="shared" si="22"/>
        <v>60.333333333333336</v>
      </c>
      <c r="M464" s="2" t="str">
        <f t="shared" si="23"/>
        <v>Pass</v>
      </c>
      <c r="N464" s="2" t="str">
        <f t="shared" si="21"/>
        <v>Stable</v>
      </c>
    </row>
    <row r="465" spans="1:14" x14ac:dyDescent="0.3">
      <c r="A465" s="2" t="s">
        <v>673</v>
      </c>
      <c r="B465" s="2" t="s">
        <v>390</v>
      </c>
      <c r="C465" s="2" t="s">
        <v>16</v>
      </c>
      <c r="D465" s="2">
        <v>20</v>
      </c>
      <c r="E465" s="2" t="s">
        <v>37</v>
      </c>
      <c r="F465" s="2">
        <v>5</v>
      </c>
      <c r="G465" s="2">
        <v>38</v>
      </c>
      <c r="H465" s="2">
        <v>89</v>
      </c>
      <c r="I465" s="2">
        <v>59</v>
      </c>
      <c r="J465" s="2">
        <v>72</v>
      </c>
      <c r="K465" s="2" t="s">
        <v>22</v>
      </c>
      <c r="L465" s="1">
        <f t="shared" si="22"/>
        <v>62</v>
      </c>
      <c r="M465" s="2" t="str">
        <f t="shared" si="23"/>
        <v>Fail</v>
      </c>
      <c r="N465" s="2" t="str">
        <f t="shared" si="21"/>
        <v>High Risk</v>
      </c>
    </row>
    <row r="466" spans="1:14" x14ac:dyDescent="0.3">
      <c r="A466" s="2" t="s">
        <v>674</v>
      </c>
      <c r="B466" s="2" t="s">
        <v>613</v>
      </c>
      <c r="C466" s="2" t="s">
        <v>21</v>
      </c>
      <c r="D466" s="2">
        <v>21</v>
      </c>
      <c r="E466" s="2" t="s">
        <v>34</v>
      </c>
      <c r="F466" s="2">
        <v>5</v>
      </c>
      <c r="G466" s="2">
        <v>38</v>
      </c>
      <c r="H466" s="2">
        <v>49</v>
      </c>
      <c r="I466" s="2">
        <v>91</v>
      </c>
      <c r="J466" s="2">
        <v>71.790000000000006</v>
      </c>
      <c r="K466" s="2" t="s">
        <v>31</v>
      </c>
      <c r="L466" s="1">
        <f t="shared" si="22"/>
        <v>59.333333333333336</v>
      </c>
      <c r="M466" s="2" t="str">
        <f t="shared" si="23"/>
        <v>Fail</v>
      </c>
      <c r="N466" s="2" t="str">
        <f t="shared" si="21"/>
        <v>High Risk</v>
      </c>
    </row>
    <row r="467" spans="1:14" x14ac:dyDescent="0.3">
      <c r="A467" s="2" t="s">
        <v>675</v>
      </c>
      <c r="B467" s="2" t="s">
        <v>62</v>
      </c>
      <c r="C467" s="2" t="s">
        <v>21</v>
      </c>
      <c r="D467" s="2">
        <v>18</v>
      </c>
      <c r="E467" s="2" t="s">
        <v>34</v>
      </c>
      <c r="F467" s="2">
        <v>2</v>
      </c>
      <c r="G467" s="2">
        <v>71</v>
      </c>
      <c r="H467" s="2">
        <v>89</v>
      </c>
      <c r="I467" s="2">
        <v>35</v>
      </c>
      <c r="J467" s="2">
        <v>84.48</v>
      </c>
      <c r="K467" s="2" t="s">
        <v>22</v>
      </c>
      <c r="L467" s="1">
        <f t="shared" si="22"/>
        <v>65</v>
      </c>
      <c r="M467" s="2" t="str">
        <f t="shared" si="23"/>
        <v>Fail</v>
      </c>
      <c r="N467" s="2" t="str">
        <f t="shared" si="21"/>
        <v>High Risk</v>
      </c>
    </row>
    <row r="468" spans="1:14" x14ac:dyDescent="0.3">
      <c r="A468" s="2" t="s">
        <v>676</v>
      </c>
      <c r="B468" s="2" t="s">
        <v>33</v>
      </c>
      <c r="C468" s="2" t="s">
        <v>16</v>
      </c>
      <c r="D468" s="2">
        <v>23</v>
      </c>
      <c r="E468" s="2" t="s">
        <v>27</v>
      </c>
      <c r="F468" s="2">
        <v>1</v>
      </c>
      <c r="G468" s="2">
        <v>64</v>
      </c>
      <c r="H468" s="2">
        <v>84</v>
      </c>
      <c r="I468" s="2">
        <v>60</v>
      </c>
      <c r="J468" s="2">
        <v>68.95</v>
      </c>
      <c r="K468" s="2" t="s">
        <v>22</v>
      </c>
      <c r="L468" s="1">
        <f t="shared" si="22"/>
        <v>69.333333333333329</v>
      </c>
      <c r="M468" s="2" t="str">
        <f t="shared" si="23"/>
        <v>Pass</v>
      </c>
      <c r="N468" s="2" t="str">
        <f t="shared" si="21"/>
        <v>Stable</v>
      </c>
    </row>
    <row r="469" spans="1:14" x14ac:dyDescent="0.3">
      <c r="A469" s="2" t="s">
        <v>677</v>
      </c>
      <c r="B469" s="2" t="s">
        <v>279</v>
      </c>
      <c r="C469" s="2" t="s">
        <v>16</v>
      </c>
      <c r="D469" s="2">
        <v>18</v>
      </c>
      <c r="E469" s="2" t="s">
        <v>37</v>
      </c>
      <c r="F469" s="2">
        <v>6</v>
      </c>
      <c r="G469" s="2">
        <v>52</v>
      </c>
      <c r="H469" s="2">
        <v>77</v>
      </c>
      <c r="I469" s="2">
        <v>82</v>
      </c>
      <c r="J469" s="2">
        <v>94.53</v>
      </c>
      <c r="K469" s="2" t="s">
        <v>28</v>
      </c>
      <c r="L469" s="1">
        <f t="shared" si="22"/>
        <v>70.333333333333329</v>
      </c>
      <c r="M469" s="2" t="str">
        <f t="shared" si="23"/>
        <v>Pass</v>
      </c>
      <c r="N469" s="2" t="str">
        <f t="shared" si="21"/>
        <v>Stable</v>
      </c>
    </row>
    <row r="470" spans="1:14" x14ac:dyDescent="0.3">
      <c r="A470" s="2" t="s">
        <v>678</v>
      </c>
      <c r="B470" s="2" t="s">
        <v>121</v>
      </c>
      <c r="C470" s="2" t="s">
        <v>21</v>
      </c>
      <c r="D470" s="2">
        <v>22</v>
      </c>
      <c r="E470" s="2" t="s">
        <v>37</v>
      </c>
      <c r="F470" s="2">
        <v>2</v>
      </c>
      <c r="G470" s="2">
        <v>51</v>
      </c>
      <c r="H470" s="2">
        <v>36</v>
      </c>
      <c r="I470" s="2">
        <v>86</v>
      </c>
      <c r="J470" s="2">
        <v>66.95</v>
      </c>
      <c r="K470" s="2" t="s">
        <v>31</v>
      </c>
      <c r="L470" s="1">
        <f t="shared" si="22"/>
        <v>57.666666666666664</v>
      </c>
      <c r="M470" s="2" t="str">
        <f t="shared" si="23"/>
        <v>Fail</v>
      </c>
      <c r="N470" s="2" t="str">
        <f t="shared" si="21"/>
        <v>High Risk</v>
      </c>
    </row>
    <row r="471" spans="1:14" x14ac:dyDescent="0.3">
      <c r="A471" s="2" t="s">
        <v>679</v>
      </c>
      <c r="B471" s="2" t="s">
        <v>604</v>
      </c>
      <c r="C471" s="2" t="s">
        <v>21</v>
      </c>
      <c r="D471" s="2">
        <v>18</v>
      </c>
      <c r="E471" s="2" t="s">
        <v>50</v>
      </c>
      <c r="F471" s="2">
        <v>2</v>
      </c>
      <c r="G471" s="2">
        <v>79</v>
      </c>
      <c r="H471" s="2">
        <v>65</v>
      </c>
      <c r="I471" s="2">
        <v>76</v>
      </c>
      <c r="J471" s="2">
        <v>82.18</v>
      </c>
      <c r="K471" s="2" t="s">
        <v>28</v>
      </c>
      <c r="L471" s="1">
        <f t="shared" si="22"/>
        <v>73.333333333333329</v>
      </c>
      <c r="M471" s="2" t="str">
        <f t="shared" si="23"/>
        <v>Pass</v>
      </c>
      <c r="N471" s="2" t="str">
        <f t="shared" si="21"/>
        <v>Stable</v>
      </c>
    </row>
    <row r="472" spans="1:14" x14ac:dyDescent="0.3">
      <c r="A472" s="2" t="s">
        <v>680</v>
      </c>
      <c r="B472" s="2" t="s">
        <v>560</v>
      </c>
      <c r="C472" s="2" t="s">
        <v>21</v>
      </c>
      <c r="D472" s="2">
        <v>19</v>
      </c>
      <c r="E472" s="2" t="s">
        <v>34</v>
      </c>
      <c r="F472" s="2">
        <v>2</v>
      </c>
      <c r="G472" s="2">
        <v>52</v>
      </c>
      <c r="H472" s="2">
        <v>35</v>
      </c>
      <c r="I472" s="2">
        <v>43</v>
      </c>
      <c r="J472" s="2">
        <v>68.91</v>
      </c>
      <c r="K472" s="2" t="s">
        <v>55</v>
      </c>
      <c r="L472" s="1">
        <f t="shared" si="22"/>
        <v>43.333333333333336</v>
      </c>
      <c r="M472" s="2" t="str">
        <f t="shared" si="23"/>
        <v>Fail</v>
      </c>
      <c r="N472" s="2" t="str">
        <f t="shared" si="21"/>
        <v>High Risk</v>
      </c>
    </row>
    <row r="473" spans="1:14" x14ac:dyDescent="0.3">
      <c r="A473" s="2" t="s">
        <v>681</v>
      </c>
      <c r="B473" s="2" t="s">
        <v>234</v>
      </c>
      <c r="C473" s="2" t="s">
        <v>16</v>
      </c>
      <c r="D473" s="2">
        <v>19</v>
      </c>
      <c r="E473" s="2" t="s">
        <v>37</v>
      </c>
      <c r="F473" s="2">
        <v>1</v>
      </c>
      <c r="G473" s="2">
        <v>82</v>
      </c>
      <c r="H473" s="2">
        <v>79</v>
      </c>
      <c r="I473" s="2">
        <v>70</v>
      </c>
      <c r="J473" s="2">
        <v>71.7</v>
      </c>
      <c r="K473" s="2" t="s">
        <v>28</v>
      </c>
      <c r="L473" s="1">
        <f t="shared" si="22"/>
        <v>77</v>
      </c>
      <c r="M473" s="2" t="str">
        <f t="shared" si="23"/>
        <v>Pass</v>
      </c>
      <c r="N473" s="2" t="str">
        <f t="shared" si="21"/>
        <v>Stable</v>
      </c>
    </row>
    <row r="474" spans="1:14" x14ac:dyDescent="0.3">
      <c r="A474" s="2" t="s">
        <v>682</v>
      </c>
      <c r="B474" s="2" t="s">
        <v>168</v>
      </c>
      <c r="C474" s="2" t="s">
        <v>16</v>
      </c>
      <c r="D474" s="2">
        <v>21</v>
      </c>
      <c r="E474" s="2" t="s">
        <v>27</v>
      </c>
      <c r="F474" s="2">
        <v>2</v>
      </c>
      <c r="G474" s="2">
        <v>65</v>
      </c>
      <c r="H474" s="2">
        <v>87</v>
      </c>
      <c r="I474" s="2">
        <v>50</v>
      </c>
      <c r="J474" s="2">
        <v>90.04</v>
      </c>
      <c r="K474" s="2" t="s">
        <v>22</v>
      </c>
      <c r="L474" s="1">
        <f t="shared" si="22"/>
        <v>67.333333333333329</v>
      </c>
      <c r="M474" s="2" t="str">
        <f t="shared" si="23"/>
        <v>Pass</v>
      </c>
      <c r="N474" s="2" t="str">
        <f t="shared" si="21"/>
        <v>Stable</v>
      </c>
    </row>
    <row r="475" spans="1:14" x14ac:dyDescent="0.3">
      <c r="A475" s="2" t="s">
        <v>683</v>
      </c>
      <c r="B475" s="2" t="s">
        <v>400</v>
      </c>
      <c r="C475" s="2" t="s">
        <v>21</v>
      </c>
      <c r="D475" s="2">
        <v>18</v>
      </c>
      <c r="E475" s="2" t="s">
        <v>17</v>
      </c>
      <c r="F475" s="2">
        <v>4</v>
      </c>
      <c r="G475" s="2">
        <v>53</v>
      </c>
      <c r="H475" s="2">
        <v>80</v>
      </c>
      <c r="I475" s="2">
        <v>92</v>
      </c>
      <c r="J475" s="2">
        <v>84.42</v>
      </c>
      <c r="K475" s="2" t="s">
        <v>28</v>
      </c>
      <c r="L475" s="1">
        <f t="shared" si="22"/>
        <v>75</v>
      </c>
      <c r="M475" s="2" t="str">
        <f t="shared" si="23"/>
        <v>Pass</v>
      </c>
      <c r="N475" s="2" t="str">
        <f t="shared" si="21"/>
        <v>Stable</v>
      </c>
    </row>
    <row r="476" spans="1:14" x14ac:dyDescent="0.3">
      <c r="A476" s="2" t="s">
        <v>684</v>
      </c>
      <c r="B476" s="2" t="s">
        <v>331</v>
      </c>
      <c r="C476" s="2" t="s">
        <v>21</v>
      </c>
      <c r="D476" s="2">
        <v>21</v>
      </c>
      <c r="E476" s="2" t="s">
        <v>50</v>
      </c>
      <c r="F476" s="2">
        <v>1</v>
      </c>
      <c r="G476" s="2">
        <v>88</v>
      </c>
      <c r="H476" s="2">
        <v>64</v>
      </c>
      <c r="I476" s="2">
        <v>93</v>
      </c>
      <c r="J476" s="2">
        <v>83.84</v>
      </c>
      <c r="K476" s="2" t="s">
        <v>18</v>
      </c>
      <c r="L476" s="1">
        <f t="shared" si="22"/>
        <v>81.666666666666671</v>
      </c>
      <c r="M476" s="2" t="str">
        <f t="shared" si="23"/>
        <v>Pass</v>
      </c>
      <c r="N476" s="2" t="str">
        <f t="shared" si="21"/>
        <v>Stable</v>
      </c>
    </row>
    <row r="477" spans="1:14" x14ac:dyDescent="0.3">
      <c r="A477" s="2" t="s">
        <v>685</v>
      </c>
      <c r="B477" s="2" t="s">
        <v>196</v>
      </c>
      <c r="C477" s="2" t="s">
        <v>21</v>
      </c>
      <c r="D477" s="2">
        <v>21</v>
      </c>
      <c r="E477" s="2" t="s">
        <v>50</v>
      </c>
      <c r="F477" s="2">
        <v>1</v>
      </c>
      <c r="G477" s="2">
        <v>40</v>
      </c>
      <c r="H477" s="2">
        <v>96</v>
      </c>
      <c r="I477" s="2">
        <v>76</v>
      </c>
      <c r="J477" s="2">
        <v>71.33</v>
      </c>
      <c r="K477" s="2" t="s">
        <v>28</v>
      </c>
      <c r="L477" s="1">
        <f t="shared" si="22"/>
        <v>70.666666666666671</v>
      </c>
      <c r="M477" s="2" t="str">
        <f t="shared" si="23"/>
        <v>Pass</v>
      </c>
      <c r="N477" s="2" t="str">
        <f t="shared" si="21"/>
        <v>Stable</v>
      </c>
    </row>
    <row r="478" spans="1:14" x14ac:dyDescent="0.3">
      <c r="A478" s="2" t="s">
        <v>686</v>
      </c>
      <c r="B478" s="2" t="s">
        <v>93</v>
      </c>
      <c r="C478" s="2" t="s">
        <v>16</v>
      </c>
      <c r="D478" s="2">
        <v>19</v>
      </c>
      <c r="E478" s="2" t="s">
        <v>37</v>
      </c>
      <c r="F478" s="2">
        <v>6</v>
      </c>
      <c r="G478" s="2">
        <v>49</v>
      </c>
      <c r="H478" s="2">
        <v>58</v>
      </c>
      <c r="I478" s="2">
        <v>61</v>
      </c>
      <c r="J478" s="2">
        <v>71.42</v>
      </c>
      <c r="K478" s="2" t="s">
        <v>31</v>
      </c>
      <c r="L478" s="1">
        <f t="shared" si="22"/>
        <v>56</v>
      </c>
      <c r="M478" s="2" t="str">
        <f t="shared" si="23"/>
        <v>Pass</v>
      </c>
      <c r="N478" s="2" t="str">
        <f t="shared" si="21"/>
        <v>Monitor</v>
      </c>
    </row>
    <row r="479" spans="1:14" x14ac:dyDescent="0.3">
      <c r="A479" s="2" t="s">
        <v>687</v>
      </c>
      <c r="B479" s="2" t="s">
        <v>572</v>
      </c>
      <c r="C479" s="2" t="s">
        <v>21</v>
      </c>
      <c r="D479" s="2">
        <v>20</v>
      </c>
      <c r="E479" s="2" t="s">
        <v>37</v>
      </c>
      <c r="F479" s="2">
        <v>2</v>
      </c>
      <c r="G479" s="2">
        <v>99</v>
      </c>
      <c r="H479" s="2">
        <v>36</v>
      </c>
      <c r="I479" s="2">
        <v>100</v>
      </c>
      <c r="J479" s="2">
        <v>91.11</v>
      </c>
      <c r="K479" s="2" t="s">
        <v>28</v>
      </c>
      <c r="L479" s="1">
        <f t="shared" si="22"/>
        <v>78.333333333333329</v>
      </c>
      <c r="M479" s="2" t="str">
        <f t="shared" si="23"/>
        <v>Fail</v>
      </c>
      <c r="N479" s="2" t="str">
        <f t="shared" si="21"/>
        <v>High Risk</v>
      </c>
    </row>
    <row r="480" spans="1:14" x14ac:dyDescent="0.3">
      <c r="A480" s="2" t="s">
        <v>688</v>
      </c>
      <c r="B480" s="2" t="s">
        <v>59</v>
      </c>
      <c r="C480" s="2" t="s">
        <v>16</v>
      </c>
      <c r="D480" s="2">
        <v>20</v>
      </c>
      <c r="E480" s="2" t="s">
        <v>34</v>
      </c>
      <c r="F480" s="2">
        <v>3</v>
      </c>
      <c r="G480" s="2">
        <v>49</v>
      </c>
      <c r="H480" s="2">
        <v>73</v>
      </c>
      <c r="I480" s="2">
        <v>37</v>
      </c>
      <c r="J480" s="2">
        <v>73</v>
      </c>
      <c r="K480" s="2" t="s">
        <v>31</v>
      </c>
      <c r="L480" s="1">
        <f t="shared" si="22"/>
        <v>53</v>
      </c>
      <c r="M480" s="2" t="str">
        <f t="shared" si="23"/>
        <v>Fail</v>
      </c>
      <c r="N480" s="2" t="str">
        <f t="shared" si="21"/>
        <v>High Risk</v>
      </c>
    </row>
    <row r="481" spans="1:14" x14ac:dyDescent="0.3">
      <c r="A481" s="2" t="s">
        <v>689</v>
      </c>
      <c r="B481" s="2" t="s">
        <v>551</v>
      </c>
      <c r="C481" s="2" t="s">
        <v>21</v>
      </c>
      <c r="D481" s="2">
        <v>20</v>
      </c>
      <c r="E481" s="2" t="s">
        <v>17</v>
      </c>
      <c r="F481" s="2">
        <v>3</v>
      </c>
      <c r="G481" s="2">
        <v>44</v>
      </c>
      <c r="H481" s="2">
        <v>100</v>
      </c>
      <c r="I481" s="2">
        <v>87</v>
      </c>
      <c r="J481" s="2">
        <v>85.39</v>
      </c>
      <c r="K481" s="2" t="s">
        <v>28</v>
      </c>
      <c r="L481" s="1">
        <f t="shared" si="22"/>
        <v>77</v>
      </c>
      <c r="M481" s="2" t="str">
        <f t="shared" si="23"/>
        <v>Pass</v>
      </c>
      <c r="N481" s="2" t="str">
        <f t="shared" si="21"/>
        <v>Stable</v>
      </c>
    </row>
    <row r="482" spans="1:14" x14ac:dyDescent="0.3">
      <c r="A482" s="2" t="s">
        <v>690</v>
      </c>
      <c r="B482" s="2" t="s">
        <v>637</v>
      </c>
      <c r="C482" s="2" t="s">
        <v>16</v>
      </c>
      <c r="D482" s="2">
        <v>20</v>
      </c>
      <c r="E482" s="2" t="s">
        <v>17</v>
      </c>
      <c r="F482" s="2">
        <v>4</v>
      </c>
      <c r="G482" s="2">
        <v>69</v>
      </c>
      <c r="H482" s="2">
        <v>98</v>
      </c>
      <c r="I482" s="2">
        <v>45</v>
      </c>
      <c r="J482" s="2">
        <v>77.989999999999995</v>
      </c>
      <c r="K482" s="2" t="s">
        <v>28</v>
      </c>
      <c r="L482" s="1">
        <f t="shared" si="22"/>
        <v>70.666666666666671</v>
      </c>
      <c r="M482" s="2" t="str">
        <f t="shared" si="23"/>
        <v>Pass</v>
      </c>
      <c r="N482" s="2" t="str">
        <f t="shared" si="21"/>
        <v>Stable</v>
      </c>
    </row>
    <row r="483" spans="1:14" x14ac:dyDescent="0.3">
      <c r="A483" s="2" t="s">
        <v>691</v>
      </c>
      <c r="B483" s="2" t="s">
        <v>247</v>
      </c>
      <c r="C483" s="2" t="s">
        <v>21</v>
      </c>
      <c r="D483" s="2">
        <v>22</v>
      </c>
      <c r="E483" s="2" t="s">
        <v>50</v>
      </c>
      <c r="F483" s="2">
        <v>5</v>
      </c>
      <c r="G483" s="2">
        <v>53</v>
      </c>
      <c r="H483" s="2">
        <v>71</v>
      </c>
      <c r="I483" s="2">
        <v>90</v>
      </c>
      <c r="J483" s="2">
        <v>88.06</v>
      </c>
      <c r="K483" s="2" t="s">
        <v>28</v>
      </c>
      <c r="L483" s="1">
        <f t="shared" si="22"/>
        <v>71.333333333333329</v>
      </c>
      <c r="M483" s="2" t="str">
        <f t="shared" si="23"/>
        <v>Pass</v>
      </c>
      <c r="N483" s="2" t="str">
        <f t="shared" si="21"/>
        <v>Stable</v>
      </c>
    </row>
    <row r="484" spans="1:14" x14ac:dyDescent="0.3">
      <c r="A484" s="2" t="s">
        <v>692</v>
      </c>
      <c r="B484" s="2" t="s">
        <v>68</v>
      </c>
      <c r="C484" s="2" t="s">
        <v>16</v>
      </c>
      <c r="D484" s="2">
        <v>21</v>
      </c>
      <c r="E484" s="2" t="s">
        <v>17</v>
      </c>
      <c r="F484" s="2">
        <v>1</v>
      </c>
      <c r="G484" s="2">
        <v>90</v>
      </c>
      <c r="H484" s="2">
        <v>79</v>
      </c>
      <c r="I484" s="2">
        <v>52</v>
      </c>
      <c r="J484" s="2">
        <v>76.45</v>
      </c>
      <c r="K484" s="2" t="s">
        <v>28</v>
      </c>
      <c r="L484" s="1">
        <f t="shared" si="22"/>
        <v>73.666666666666671</v>
      </c>
      <c r="M484" s="2" t="str">
        <f t="shared" si="23"/>
        <v>Pass</v>
      </c>
      <c r="N484" s="2" t="str">
        <f t="shared" si="21"/>
        <v>Stable</v>
      </c>
    </row>
    <row r="485" spans="1:14" x14ac:dyDescent="0.3">
      <c r="A485" s="2" t="s">
        <v>693</v>
      </c>
      <c r="B485" s="2" t="s">
        <v>103</v>
      </c>
      <c r="C485" s="2" t="s">
        <v>16</v>
      </c>
      <c r="D485" s="2">
        <v>18</v>
      </c>
      <c r="E485" s="2" t="s">
        <v>27</v>
      </c>
      <c r="F485" s="2">
        <v>5</v>
      </c>
      <c r="G485" s="2">
        <v>68</v>
      </c>
      <c r="H485" s="2">
        <v>89</v>
      </c>
      <c r="I485" s="2">
        <v>97</v>
      </c>
      <c r="J485" s="2">
        <v>85.93</v>
      </c>
      <c r="K485" s="2" t="s">
        <v>18</v>
      </c>
      <c r="L485" s="1">
        <f t="shared" si="22"/>
        <v>84.666666666666671</v>
      </c>
      <c r="M485" s="2" t="str">
        <f t="shared" si="23"/>
        <v>Pass</v>
      </c>
      <c r="N485" s="2" t="str">
        <f t="shared" si="21"/>
        <v>Stable</v>
      </c>
    </row>
    <row r="486" spans="1:14" x14ac:dyDescent="0.3">
      <c r="A486" s="2" t="s">
        <v>694</v>
      </c>
      <c r="B486" s="2" t="s">
        <v>695</v>
      </c>
      <c r="C486" s="2" t="s">
        <v>16</v>
      </c>
      <c r="D486" s="2">
        <v>19</v>
      </c>
      <c r="E486" s="2" t="s">
        <v>37</v>
      </c>
      <c r="F486" s="2">
        <v>1</v>
      </c>
      <c r="G486" s="2">
        <v>63</v>
      </c>
      <c r="H486" s="2">
        <v>76</v>
      </c>
      <c r="I486" s="2">
        <v>63</v>
      </c>
      <c r="J486" s="2">
        <v>69.239999999999995</v>
      </c>
      <c r="K486" s="2" t="s">
        <v>22</v>
      </c>
      <c r="L486" s="1">
        <f t="shared" si="22"/>
        <v>67.333333333333329</v>
      </c>
      <c r="M486" s="2" t="str">
        <f t="shared" si="23"/>
        <v>Pass</v>
      </c>
      <c r="N486" s="2" t="str">
        <f t="shared" si="21"/>
        <v>Stable</v>
      </c>
    </row>
    <row r="487" spans="1:14" x14ac:dyDescent="0.3">
      <c r="A487" s="2" t="s">
        <v>696</v>
      </c>
      <c r="B487" s="2" t="s">
        <v>302</v>
      </c>
      <c r="C487" s="2" t="s">
        <v>16</v>
      </c>
      <c r="D487" s="2">
        <v>23</v>
      </c>
      <c r="E487" s="2" t="s">
        <v>37</v>
      </c>
      <c r="F487" s="2">
        <v>5</v>
      </c>
      <c r="G487" s="2">
        <v>61</v>
      </c>
      <c r="H487" s="2">
        <v>47</v>
      </c>
      <c r="I487" s="2">
        <v>62</v>
      </c>
      <c r="J487" s="2">
        <v>71.14</v>
      </c>
      <c r="K487" s="2" t="s">
        <v>31</v>
      </c>
      <c r="L487" s="1">
        <f t="shared" si="22"/>
        <v>56.666666666666664</v>
      </c>
      <c r="M487" s="2" t="str">
        <f t="shared" si="23"/>
        <v>Pass</v>
      </c>
      <c r="N487" s="2" t="str">
        <f t="shared" si="21"/>
        <v>Monitor</v>
      </c>
    </row>
    <row r="488" spans="1:14" x14ac:dyDescent="0.3">
      <c r="A488" s="2" t="s">
        <v>697</v>
      </c>
      <c r="B488" s="2" t="s">
        <v>57</v>
      </c>
      <c r="C488" s="2" t="s">
        <v>21</v>
      </c>
      <c r="D488" s="2">
        <v>20</v>
      </c>
      <c r="E488" s="2" t="s">
        <v>37</v>
      </c>
      <c r="F488" s="2">
        <v>4</v>
      </c>
      <c r="G488" s="2">
        <v>76</v>
      </c>
      <c r="H488" s="2">
        <v>65</v>
      </c>
      <c r="I488" s="2">
        <v>85</v>
      </c>
      <c r="J488" s="2">
        <v>93.52</v>
      </c>
      <c r="K488" s="2" t="s">
        <v>28</v>
      </c>
      <c r="L488" s="1">
        <f t="shared" si="22"/>
        <v>75.333333333333329</v>
      </c>
      <c r="M488" s="2" t="str">
        <f t="shared" si="23"/>
        <v>Pass</v>
      </c>
      <c r="N488" s="2" t="str">
        <f t="shared" si="21"/>
        <v>Stable</v>
      </c>
    </row>
    <row r="489" spans="1:14" x14ac:dyDescent="0.3">
      <c r="A489" s="2" t="s">
        <v>698</v>
      </c>
      <c r="B489" s="2" t="s">
        <v>426</v>
      </c>
      <c r="C489" s="2" t="s">
        <v>16</v>
      </c>
      <c r="D489" s="2">
        <v>19</v>
      </c>
      <c r="E489" s="2" t="s">
        <v>37</v>
      </c>
      <c r="F489" s="2">
        <v>6</v>
      </c>
      <c r="G489" s="2">
        <v>36</v>
      </c>
      <c r="H489" s="2">
        <v>54</v>
      </c>
      <c r="I489" s="2">
        <v>79</v>
      </c>
      <c r="J489" s="2">
        <v>81.209999999999994</v>
      </c>
      <c r="K489" s="2" t="s">
        <v>31</v>
      </c>
      <c r="L489" s="1">
        <f t="shared" si="22"/>
        <v>56.333333333333336</v>
      </c>
      <c r="M489" s="2" t="str">
        <f t="shared" si="23"/>
        <v>Fail</v>
      </c>
      <c r="N489" s="2" t="str">
        <f t="shared" si="21"/>
        <v>High Risk</v>
      </c>
    </row>
    <row r="490" spans="1:14" x14ac:dyDescent="0.3">
      <c r="A490" s="2" t="s">
        <v>699</v>
      </c>
      <c r="B490" s="2" t="s">
        <v>125</v>
      </c>
      <c r="C490" s="2" t="s">
        <v>21</v>
      </c>
      <c r="D490" s="2">
        <v>22</v>
      </c>
      <c r="E490" s="2" t="s">
        <v>37</v>
      </c>
      <c r="F490" s="2">
        <v>6</v>
      </c>
      <c r="G490" s="2">
        <v>96</v>
      </c>
      <c r="H490" s="2">
        <v>74</v>
      </c>
      <c r="I490" s="2">
        <v>85</v>
      </c>
      <c r="J490" s="2">
        <v>86.73</v>
      </c>
      <c r="K490" s="2" t="s">
        <v>18</v>
      </c>
      <c r="L490" s="1">
        <f t="shared" si="22"/>
        <v>85</v>
      </c>
      <c r="M490" s="2" t="str">
        <f t="shared" si="23"/>
        <v>Pass</v>
      </c>
      <c r="N490" s="2" t="str">
        <f t="shared" si="21"/>
        <v>Stable</v>
      </c>
    </row>
    <row r="491" spans="1:14" x14ac:dyDescent="0.3">
      <c r="A491" s="2" t="s">
        <v>700</v>
      </c>
      <c r="B491" s="2" t="s">
        <v>76</v>
      </c>
      <c r="C491" s="2" t="s">
        <v>21</v>
      </c>
      <c r="D491" s="2">
        <v>20</v>
      </c>
      <c r="E491" s="2" t="s">
        <v>27</v>
      </c>
      <c r="F491" s="2">
        <v>2</v>
      </c>
      <c r="G491" s="2">
        <v>69</v>
      </c>
      <c r="H491" s="2">
        <v>54</v>
      </c>
      <c r="I491" s="2">
        <v>98</v>
      </c>
      <c r="J491" s="2">
        <v>99.95</v>
      </c>
      <c r="K491" s="2" t="s">
        <v>28</v>
      </c>
      <c r="L491" s="1">
        <f t="shared" si="22"/>
        <v>73.666666666666671</v>
      </c>
      <c r="M491" s="2" t="str">
        <f t="shared" si="23"/>
        <v>Pass</v>
      </c>
      <c r="N491" s="2" t="str">
        <f t="shared" si="21"/>
        <v>Stable</v>
      </c>
    </row>
    <row r="492" spans="1:14" x14ac:dyDescent="0.3">
      <c r="A492" s="2" t="s">
        <v>701</v>
      </c>
      <c r="B492" s="2" t="s">
        <v>240</v>
      </c>
      <c r="C492" s="2" t="s">
        <v>16</v>
      </c>
      <c r="D492" s="2">
        <v>18</v>
      </c>
      <c r="E492" s="2" t="s">
        <v>34</v>
      </c>
      <c r="F492" s="2">
        <v>1</v>
      </c>
      <c r="G492" s="2">
        <v>63</v>
      </c>
      <c r="H492" s="2">
        <v>98</v>
      </c>
      <c r="I492" s="2">
        <v>44</v>
      </c>
      <c r="J492" s="2">
        <v>74.37</v>
      </c>
      <c r="K492" s="2" t="s">
        <v>22</v>
      </c>
      <c r="L492" s="1">
        <f t="shared" si="22"/>
        <v>68.333333333333329</v>
      </c>
      <c r="M492" s="2" t="str">
        <f t="shared" si="23"/>
        <v>Pass</v>
      </c>
      <c r="N492" s="2" t="str">
        <f t="shared" si="21"/>
        <v>Stable</v>
      </c>
    </row>
    <row r="493" spans="1:14" x14ac:dyDescent="0.3">
      <c r="A493" s="2" t="s">
        <v>702</v>
      </c>
      <c r="B493" s="2" t="s">
        <v>177</v>
      </c>
      <c r="C493" s="2" t="s">
        <v>16</v>
      </c>
      <c r="D493" s="2">
        <v>18</v>
      </c>
      <c r="E493" s="2" t="s">
        <v>34</v>
      </c>
      <c r="F493" s="2">
        <v>5</v>
      </c>
      <c r="G493" s="2">
        <v>37</v>
      </c>
      <c r="H493" s="2">
        <v>65</v>
      </c>
      <c r="I493" s="2">
        <v>94</v>
      </c>
      <c r="J493" s="2">
        <v>87.77</v>
      </c>
      <c r="K493" s="2" t="s">
        <v>22</v>
      </c>
      <c r="L493" s="1">
        <f t="shared" si="22"/>
        <v>65.333333333333329</v>
      </c>
      <c r="M493" s="2" t="str">
        <f t="shared" si="23"/>
        <v>Fail</v>
      </c>
      <c r="N493" s="2" t="str">
        <f t="shared" si="21"/>
        <v>High Risk</v>
      </c>
    </row>
    <row r="494" spans="1:14" x14ac:dyDescent="0.3">
      <c r="A494" s="2" t="s">
        <v>703</v>
      </c>
      <c r="B494" s="2" t="s">
        <v>220</v>
      </c>
      <c r="C494" s="2" t="s">
        <v>16</v>
      </c>
      <c r="D494" s="2">
        <v>18</v>
      </c>
      <c r="E494" s="2" t="s">
        <v>27</v>
      </c>
      <c r="F494" s="2">
        <v>3</v>
      </c>
      <c r="G494" s="2">
        <v>94</v>
      </c>
      <c r="H494" s="2">
        <v>87</v>
      </c>
      <c r="I494" s="2">
        <v>63</v>
      </c>
      <c r="J494" s="2">
        <v>91.48</v>
      </c>
      <c r="K494" s="2" t="s">
        <v>18</v>
      </c>
      <c r="L494" s="1">
        <f t="shared" si="22"/>
        <v>81.333333333333329</v>
      </c>
      <c r="M494" s="2" t="str">
        <f t="shared" si="23"/>
        <v>Pass</v>
      </c>
      <c r="N494" s="2" t="str">
        <f t="shared" si="21"/>
        <v>Stable</v>
      </c>
    </row>
    <row r="495" spans="1:14" x14ac:dyDescent="0.3">
      <c r="A495" s="2" t="s">
        <v>704</v>
      </c>
      <c r="B495" s="2" t="s">
        <v>600</v>
      </c>
      <c r="C495" s="2" t="s">
        <v>16</v>
      </c>
      <c r="D495" s="2">
        <v>22</v>
      </c>
      <c r="E495" s="2" t="s">
        <v>37</v>
      </c>
      <c r="F495" s="2">
        <v>1</v>
      </c>
      <c r="G495" s="2">
        <v>35</v>
      </c>
      <c r="H495" s="2">
        <v>73</v>
      </c>
      <c r="I495" s="2">
        <v>42</v>
      </c>
      <c r="J495" s="2">
        <v>73.69</v>
      </c>
      <c r="K495" s="2" t="s">
        <v>31</v>
      </c>
      <c r="L495" s="1">
        <f t="shared" si="22"/>
        <v>50</v>
      </c>
      <c r="M495" s="2" t="str">
        <f t="shared" si="23"/>
        <v>Fail</v>
      </c>
      <c r="N495" s="2" t="str">
        <f t="shared" si="21"/>
        <v>High Risk</v>
      </c>
    </row>
    <row r="496" spans="1:14" x14ac:dyDescent="0.3">
      <c r="A496" s="2" t="s">
        <v>705</v>
      </c>
      <c r="B496" s="2" t="s">
        <v>706</v>
      </c>
      <c r="C496" s="2" t="s">
        <v>16</v>
      </c>
      <c r="D496" s="2">
        <v>20</v>
      </c>
      <c r="E496" s="2" t="s">
        <v>50</v>
      </c>
      <c r="F496" s="2">
        <v>6</v>
      </c>
      <c r="G496" s="2">
        <v>95</v>
      </c>
      <c r="H496" s="2">
        <v>96</v>
      </c>
      <c r="I496" s="2">
        <v>51</v>
      </c>
      <c r="J496" s="2">
        <v>71.680000000000007</v>
      </c>
      <c r="K496" s="2" t="s">
        <v>18</v>
      </c>
      <c r="L496" s="1">
        <f t="shared" si="22"/>
        <v>80.666666666666671</v>
      </c>
      <c r="M496" s="2" t="str">
        <f t="shared" si="23"/>
        <v>Pass</v>
      </c>
      <c r="N496" s="2" t="str">
        <f t="shared" si="21"/>
        <v>Stable</v>
      </c>
    </row>
    <row r="497" spans="1:14" x14ac:dyDescent="0.3">
      <c r="A497" s="2" t="s">
        <v>707</v>
      </c>
      <c r="B497" s="2" t="s">
        <v>496</v>
      </c>
      <c r="C497" s="2" t="s">
        <v>16</v>
      </c>
      <c r="D497" s="2">
        <v>23</v>
      </c>
      <c r="E497" s="2" t="s">
        <v>34</v>
      </c>
      <c r="F497" s="2">
        <v>4</v>
      </c>
      <c r="G497" s="2">
        <v>55</v>
      </c>
      <c r="H497" s="2">
        <v>86</v>
      </c>
      <c r="I497" s="2">
        <v>80</v>
      </c>
      <c r="J497" s="2">
        <v>87.04</v>
      </c>
      <c r="K497" s="2" t="s">
        <v>28</v>
      </c>
      <c r="L497" s="1">
        <f t="shared" si="22"/>
        <v>73.666666666666671</v>
      </c>
      <c r="M497" s="2" t="str">
        <f t="shared" si="23"/>
        <v>Pass</v>
      </c>
      <c r="N497" s="2" t="str">
        <f t="shared" si="21"/>
        <v>Stable</v>
      </c>
    </row>
    <row r="498" spans="1:14" x14ac:dyDescent="0.3">
      <c r="A498" s="2" t="s">
        <v>708</v>
      </c>
      <c r="B498" s="2" t="s">
        <v>45</v>
      </c>
      <c r="C498" s="2" t="s">
        <v>21</v>
      </c>
      <c r="D498" s="2">
        <v>19</v>
      </c>
      <c r="E498" s="2" t="s">
        <v>17</v>
      </c>
      <c r="F498" s="2">
        <v>3</v>
      </c>
      <c r="G498" s="2">
        <v>66</v>
      </c>
      <c r="H498" s="2">
        <v>71</v>
      </c>
      <c r="I498" s="2">
        <v>94</v>
      </c>
      <c r="J498" s="2">
        <v>86.5</v>
      </c>
      <c r="K498" s="2" t="s">
        <v>28</v>
      </c>
      <c r="L498" s="1">
        <f t="shared" si="22"/>
        <v>77</v>
      </c>
      <c r="M498" s="2" t="str">
        <f t="shared" si="23"/>
        <v>Pass</v>
      </c>
      <c r="N498" s="2" t="str">
        <f t="shared" si="21"/>
        <v>Stable</v>
      </c>
    </row>
    <row r="499" spans="1:14" x14ac:dyDescent="0.3">
      <c r="A499" s="2" t="s">
        <v>709</v>
      </c>
      <c r="B499" s="2" t="s">
        <v>163</v>
      </c>
      <c r="C499" s="2" t="s">
        <v>16</v>
      </c>
      <c r="D499" s="2">
        <v>21</v>
      </c>
      <c r="E499" s="2" t="s">
        <v>50</v>
      </c>
      <c r="F499" s="2">
        <v>5</v>
      </c>
      <c r="G499" s="2">
        <v>54</v>
      </c>
      <c r="H499" s="2">
        <v>73</v>
      </c>
      <c r="I499" s="2">
        <v>83</v>
      </c>
      <c r="J499" s="2">
        <v>97.59</v>
      </c>
      <c r="K499" s="2" t="s">
        <v>28</v>
      </c>
      <c r="L499" s="1">
        <f t="shared" si="22"/>
        <v>70</v>
      </c>
      <c r="M499" s="2" t="str">
        <f t="shared" si="23"/>
        <v>Pass</v>
      </c>
      <c r="N499" s="2" t="str">
        <f t="shared" si="21"/>
        <v>Stable</v>
      </c>
    </row>
    <row r="500" spans="1:14" x14ac:dyDescent="0.3">
      <c r="A500" s="2" t="s">
        <v>710</v>
      </c>
      <c r="B500" s="2" t="s">
        <v>270</v>
      </c>
      <c r="C500" s="2" t="s">
        <v>16</v>
      </c>
      <c r="D500" s="2">
        <v>21</v>
      </c>
      <c r="E500" s="2" t="s">
        <v>37</v>
      </c>
      <c r="F500" s="2">
        <v>1</v>
      </c>
      <c r="G500" s="2">
        <v>35</v>
      </c>
      <c r="H500" s="2">
        <v>61</v>
      </c>
      <c r="I500" s="2">
        <v>69</v>
      </c>
      <c r="J500" s="2">
        <v>71.81</v>
      </c>
      <c r="K500" s="2" t="s">
        <v>31</v>
      </c>
      <c r="L500" s="1">
        <f t="shared" si="22"/>
        <v>55</v>
      </c>
      <c r="M500" s="2" t="str">
        <f t="shared" si="23"/>
        <v>Fail</v>
      </c>
      <c r="N500" s="2" t="str">
        <f t="shared" si="21"/>
        <v>High Risk</v>
      </c>
    </row>
    <row r="501" spans="1:14" x14ac:dyDescent="0.3">
      <c r="A501" s="2" t="s">
        <v>711</v>
      </c>
      <c r="B501" s="2" t="s">
        <v>242</v>
      </c>
      <c r="C501" s="2" t="s">
        <v>16</v>
      </c>
      <c r="D501" s="2">
        <v>22</v>
      </c>
      <c r="E501" s="2" t="s">
        <v>37</v>
      </c>
      <c r="F501" s="2">
        <v>3</v>
      </c>
      <c r="G501" s="2">
        <v>83</v>
      </c>
      <c r="H501" s="2">
        <v>57</v>
      </c>
      <c r="I501" s="2">
        <v>58</v>
      </c>
      <c r="J501" s="2">
        <v>67.73</v>
      </c>
      <c r="K501" s="2" t="s">
        <v>22</v>
      </c>
      <c r="L501" s="1">
        <f t="shared" si="22"/>
        <v>66</v>
      </c>
      <c r="M501" s="2" t="str">
        <f t="shared" si="23"/>
        <v>Pass</v>
      </c>
      <c r="N501" s="2" t="str">
        <f t="shared" si="21"/>
        <v>Stable</v>
      </c>
    </row>
    <row r="502" spans="1:14" x14ac:dyDescent="0.3">
      <c r="A502" s="2" t="s">
        <v>712</v>
      </c>
      <c r="B502" s="2" t="s">
        <v>74</v>
      </c>
      <c r="C502" s="2" t="s">
        <v>16</v>
      </c>
      <c r="D502" s="2">
        <v>19</v>
      </c>
      <c r="E502" s="2" t="s">
        <v>50</v>
      </c>
      <c r="F502" s="2">
        <v>2</v>
      </c>
      <c r="G502" s="2">
        <v>100</v>
      </c>
      <c r="H502" s="2">
        <v>92</v>
      </c>
      <c r="I502" s="2">
        <v>36</v>
      </c>
      <c r="J502" s="2">
        <v>68.58</v>
      </c>
      <c r="K502" s="2" t="s">
        <v>28</v>
      </c>
      <c r="L502" s="1">
        <f t="shared" si="22"/>
        <v>76</v>
      </c>
      <c r="M502" s="2" t="str">
        <f t="shared" si="23"/>
        <v>Fail</v>
      </c>
      <c r="N502" s="2" t="str">
        <f t="shared" si="21"/>
        <v>High Risk</v>
      </c>
    </row>
    <row r="503" spans="1:14" x14ac:dyDescent="0.3">
      <c r="A503" s="2" t="s">
        <v>713</v>
      </c>
      <c r="B503" s="2" t="s">
        <v>276</v>
      </c>
      <c r="C503" s="2" t="s">
        <v>16</v>
      </c>
      <c r="D503" s="2">
        <v>19</v>
      </c>
      <c r="E503" s="2" t="s">
        <v>50</v>
      </c>
      <c r="F503" s="2">
        <v>5</v>
      </c>
      <c r="G503" s="2">
        <v>58</v>
      </c>
      <c r="H503" s="2">
        <v>79</v>
      </c>
      <c r="I503" s="2">
        <v>80</v>
      </c>
      <c r="J503" s="2">
        <v>83.95</v>
      </c>
      <c r="K503" s="2" t="s">
        <v>28</v>
      </c>
      <c r="L503" s="1">
        <f t="shared" si="22"/>
        <v>72.333333333333329</v>
      </c>
      <c r="M503" s="2" t="str">
        <f t="shared" si="23"/>
        <v>Pass</v>
      </c>
      <c r="N503" s="2" t="str">
        <f t="shared" si="21"/>
        <v>Stable</v>
      </c>
    </row>
    <row r="504" spans="1:14" x14ac:dyDescent="0.3">
      <c r="A504" s="2" t="s">
        <v>714</v>
      </c>
      <c r="B504" s="2" t="s">
        <v>145</v>
      </c>
      <c r="C504" s="2" t="s">
        <v>21</v>
      </c>
      <c r="D504" s="2">
        <v>21</v>
      </c>
      <c r="E504" s="2" t="s">
        <v>34</v>
      </c>
      <c r="F504" s="2">
        <v>2</v>
      </c>
      <c r="G504" s="2">
        <v>74</v>
      </c>
      <c r="H504" s="2">
        <v>89</v>
      </c>
      <c r="I504" s="2">
        <v>83</v>
      </c>
      <c r="J504" s="2">
        <v>99.11</v>
      </c>
      <c r="K504" s="2" t="s">
        <v>18</v>
      </c>
      <c r="L504" s="1">
        <f t="shared" si="22"/>
        <v>82</v>
      </c>
      <c r="M504" s="2" t="str">
        <f t="shared" si="23"/>
        <v>Pass</v>
      </c>
      <c r="N504" s="2" t="str">
        <f t="shared" si="21"/>
        <v>Stable</v>
      </c>
    </row>
    <row r="505" spans="1:14" x14ac:dyDescent="0.3">
      <c r="A505" s="2" t="s">
        <v>715</v>
      </c>
      <c r="B505" s="2" t="s">
        <v>39</v>
      </c>
      <c r="C505" s="2" t="s">
        <v>21</v>
      </c>
      <c r="D505" s="2">
        <v>22</v>
      </c>
      <c r="E505" s="2" t="s">
        <v>50</v>
      </c>
      <c r="F505" s="2">
        <v>4</v>
      </c>
      <c r="G505" s="2">
        <v>87</v>
      </c>
      <c r="H505" s="2">
        <v>94</v>
      </c>
      <c r="I505" s="2">
        <v>37</v>
      </c>
      <c r="J505" s="2">
        <v>83.59</v>
      </c>
      <c r="K505" s="2" t="s">
        <v>28</v>
      </c>
      <c r="L505" s="1">
        <f t="shared" si="22"/>
        <v>72.666666666666671</v>
      </c>
      <c r="M505" s="2" t="str">
        <f t="shared" si="23"/>
        <v>Fail</v>
      </c>
      <c r="N505" s="2" t="str">
        <f t="shared" si="21"/>
        <v>High Risk</v>
      </c>
    </row>
    <row r="506" spans="1:14" x14ac:dyDescent="0.3">
      <c r="A506" s="2" t="s">
        <v>716</v>
      </c>
      <c r="B506" s="2" t="s">
        <v>373</v>
      </c>
      <c r="C506" s="2" t="s">
        <v>16</v>
      </c>
      <c r="D506" s="2">
        <v>19</v>
      </c>
      <c r="E506" s="2" t="s">
        <v>17</v>
      </c>
      <c r="F506" s="2">
        <v>5</v>
      </c>
      <c r="G506" s="2">
        <v>74</v>
      </c>
      <c r="H506" s="2">
        <v>96</v>
      </c>
      <c r="I506" s="2">
        <v>69</v>
      </c>
      <c r="J506" s="2">
        <v>82.58</v>
      </c>
      <c r="K506" s="2" t="s">
        <v>28</v>
      </c>
      <c r="L506" s="1">
        <f t="shared" si="22"/>
        <v>79.666666666666671</v>
      </c>
      <c r="M506" s="2" t="str">
        <f t="shared" si="23"/>
        <v>Pass</v>
      </c>
      <c r="N506" s="2" t="str">
        <f t="shared" si="21"/>
        <v>Stable</v>
      </c>
    </row>
    <row r="507" spans="1:14" x14ac:dyDescent="0.3">
      <c r="A507" s="2" t="s">
        <v>717</v>
      </c>
      <c r="B507" s="2" t="s">
        <v>718</v>
      </c>
      <c r="C507" s="2" t="s">
        <v>21</v>
      </c>
      <c r="D507" s="2">
        <v>22</v>
      </c>
      <c r="E507" s="2" t="s">
        <v>37</v>
      </c>
      <c r="F507" s="2">
        <v>3</v>
      </c>
      <c r="G507" s="2">
        <v>85</v>
      </c>
      <c r="H507" s="2">
        <v>91</v>
      </c>
      <c r="I507" s="2">
        <v>36</v>
      </c>
      <c r="J507" s="2">
        <v>93.3</v>
      </c>
      <c r="K507" s="2" t="s">
        <v>28</v>
      </c>
      <c r="L507" s="1">
        <f t="shared" si="22"/>
        <v>70.666666666666671</v>
      </c>
      <c r="M507" s="2" t="str">
        <f t="shared" si="23"/>
        <v>Fail</v>
      </c>
      <c r="N507" s="2" t="str">
        <f t="shared" si="21"/>
        <v>High Risk</v>
      </c>
    </row>
    <row r="508" spans="1:14" x14ac:dyDescent="0.3">
      <c r="A508" s="2" t="s">
        <v>719</v>
      </c>
      <c r="B508" s="2" t="s">
        <v>258</v>
      </c>
      <c r="C508" s="2" t="s">
        <v>16</v>
      </c>
      <c r="D508" s="2">
        <v>18</v>
      </c>
      <c r="E508" s="2" t="s">
        <v>27</v>
      </c>
      <c r="F508" s="2">
        <v>4</v>
      </c>
      <c r="G508" s="2">
        <v>79</v>
      </c>
      <c r="H508" s="2">
        <v>38</v>
      </c>
      <c r="I508" s="2">
        <v>44</v>
      </c>
      <c r="J508" s="2">
        <v>89.74</v>
      </c>
      <c r="K508" s="2" t="s">
        <v>31</v>
      </c>
      <c r="L508" s="1">
        <f t="shared" si="22"/>
        <v>53.666666666666664</v>
      </c>
      <c r="M508" s="2" t="str">
        <f t="shared" si="23"/>
        <v>Fail</v>
      </c>
      <c r="N508" s="2" t="str">
        <f t="shared" si="21"/>
        <v>High Risk</v>
      </c>
    </row>
    <row r="509" spans="1:14" x14ac:dyDescent="0.3">
      <c r="A509" s="2" t="s">
        <v>720</v>
      </c>
      <c r="B509" s="2" t="s">
        <v>488</v>
      </c>
      <c r="C509" s="2" t="s">
        <v>16</v>
      </c>
      <c r="D509" s="2">
        <v>21</v>
      </c>
      <c r="E509" s="2" t="s">
        <v>17</v>
      </c>
      <c r="F509" s="2">
        <v>1</v>
      </c>
      <c r="G509" s="2">
        <v>75</v>
      </c>
      <c r="H509" s="2">
        <v>72</v>
      </c>
      <c r="I509" s="2">
        <v>96</v>
      </c>
      <c r="J509" s="2">
        <v>79.62</v>
      </c>
      <c r="K509" s="2" t="s">
        <v>18</v>
      </c>
      <c r="L509" s="1">
        <f t="shared" si="22"/>
        <v>81</v>
      </c>
      <c r="M509" s="2" t="str">
        <f t="shared" si="23"/>
        <v>Pass</v>
      </c>
      <c r="N509" s="2" t="str">
        <f t="shared" si="21"/>
        <v>Stable</v>
      </c>
    </row>
    <row r="510" spans="1:14" x14ac:dyDescent="0.3">
      <c r="A510" s="2" t="s">
        <v>721</v>
      </c>
      <c r="B510" s="2" t="s">
        <v>718</v>
      </c>
      <c r="C510" s="2" t="s">
        <v>16</v>
      </c>
      <c r="D510" s="2">
        <v>23</v>
      </c>
      <c r="E510" s="2" t="s">
        <v>50</v>
      </c>
      <c r="F510" s="2">
        <v>4</v>
      </c>
      <c r="G510" s="2">
        <v>92</v>
      </c>
      <c r="H510" s="2">
        <v>64</v>
      </c>
      <c r="I510" s="2">
        <v>55</v>
      </c>
      <c r="J510" s="2">
        <v>84.42</v>
      </c>
      <c r="K510" s="2" t="s">
        <v>28</v>
      </c>
      <c r="L510" s="1">
        <f t="shared" si="22"/>
        <v>70.333333333333329</v>
      </c>
      <c r="M510" s="2" t="str">
        <f t="shared" si="23"/>
        <v>Pass</v>
      </c>
      <c r="N510" s="2" t="str">
        <f t="shared" si="21"/>
        <v>Stable</v>
      </c>
    </row>
    <row r="511" spans="1:14" x14ac:dyDescent="0.3">
      <c r="A511" s="2" t="s">
        <v>722</v>
      </c>
      <c r="B511" s="2" t="s">
        <v>172</v>
      </c>
      <c r="C511" s="2" t="s">
        <v>16</v>
      </c>
      <c r="D511" s="2">
        <v>20</v>
      </c>
      <c r="E511" s="2" t="s">
        <v>37</v>
      </c>
      <c r="F511" s="2">
        <v>5</v>
      </c>
      <c r="G511" s="2">
        <v>45</v>
      </c>
      <c r="H511" s="2">
        <v>82</v>
      </c>
      <c r="I511" s="2">
        <v>92</v>
      </c>
      <c r="J511" s="2">
        <v>86.65</v>
      </c>
      <c r="K511" s="2" t="s">
        <v>28</v>
      </c>
      <c r="L511" s="1">
        <f t="shared" si="22"/>
        <v>73</v>
      </c>
      <c r="M511" s="2" t="str">
        <f t="shared" si="23"/>
        <v>Pass</v>
      </c>
      <c r="N511" s="2" t="str">
        <f t="shared" si="21"/>
        <v>Stable</v>
      </c>
    </row>
    <row r="512" spans="1:14" x14ac:dyDescent="0.3">
      <c r="A512" s="2" t="s">
        <v>723</v>
      </c>
      <c r="B512" s="2" t="s">
        <v>454</v>
      </c>
      <c r="C512" s="2" t="s">
        <v>16</v>
      </c>
      <c r="D512" s="2">
        <v>18</v>
      </c>
      <c r="E512" s="2" t="s">
        <v>37</v>
      </c>
      <c r="F512" s="2">
        <v>4</v>
      </c>
      <c r="G512" s="2">
        <v>87</v>
      </c>
      <c r="H512" s="2">
        <v>72</v>
      </c>
      <c r="I512" s="2">
        <v>53</v>
      </c>
      <c r="J512" s="2">
        <v>65.819999999999993</v>
      </c>
      <c r="K512" s="2" t="s">
        <v>28</v>
      </c>
      <c r="L512" s="1">
        <f t="shared" si="22"/>
        <v>70.666666666666671</v>
      </c>
      <c r="M512" s="2" t="str">
        <f t="shared" si="23"/>
        <v>Pass</v>
      </c>
      <c r="N512" s="2" t="str">
        <f t="shared" si="21"/>
        <v>Stable</v>
      </c>
    </row>
    <row r="513" spans="1:14" x14ac:dyDescent="0.3">
      <c r="A513" s="2" t="s">
        <v>724</v>
      </c>
      <c r="B513" s="2" t="s">
        <v>475</v>
      </c>
      <c r="C513" s="2" t="s">
        <v>21</v>
      </c>
      <c r="D513" s="2">
        <v>20</v>
      </c>
      <c r="E513" s="2" t="s">
        <v>50</v>
      </c>
      <c r="F513" s="2">
        <v>6</v>
      </c>
      <c r="G513" s="2">
        <v>58</v>
      </c>
      <c r="H513" s="2">
        <v>88</v>
      </c>
      <c r="I513" s="2">
        <v>84</v>
      </c>
      <c r="J513" s="2">
        <v>82.59</v>
      </c>
      <c r="K513" s="2" t="s">
        <v>28</v>
      </c>
      <c r="L513" s="1">
        <f t="shared" si="22"/>
        <v>76.666666666666671</v>
      </c>
      <c r="M513" s="2" t="str">
        <f t="shared" si="23"/>
        <v>Pass</v>
      </c>
      <c r="N513" s="2" t="str">
        <f t="shared" si="21"/>
        <v>Stable</v>
      </c>
    </row>
    <row r="514" spans="1:14" x14ac:dyDescent="0.3">
      <c r="A514" s="2" t="s">
        <v>725</v>
      </c>
      <c r="B514" s="2" t="s">
        <v>368</v>
      </c>
      <c r="C514" s="2" t="s">
        <v>16</v>
      </c>
      <c r="D514" s="2">
        <v>19</v>
      </c>
      <c r="E514" s="2" t="s">
        <v>27</v>
      </c>
      <c r="F514" s="2">
        <v>4</v>
      </c>
      <c r="G514" s="2">
        <v>50</v>
      </c>
      <c r="H514" s="2">
        <v>60</v>
      </c>
      <c r="I514" s="2">
        <v>68</v>
      </c>
      <c r="J514" s="2">
        <v>66.78</v>
      </c>
      <c r="K514" s="2" t="s">
        <v>31</v>
      </c>
      <c r="L514" s="1">
        <f t="shared" si="22"/>
        <v>59.333333333333336</v>
      </c>
      <c r="M514" s="2" t="str">
        <f t="shared" si="23"/>
        <v>Pass</v>
      </c>
      <c r="N514" s="2" t="str">
        <f t="shared" ref="N514:N577" si="24">_xlfn.IFS(M514="Fail", "High Risk", L514&lt;60, "Monitor", TRUE, "Stable")</f>
        <v>Monitor</v>
      </c>
    </row>
    <row r="515" spans="1:14" x14ac:dyDescent="0.3">
      <c r="A515" s="2" t="s">
        <v>726</v>
      </c>
      <c r="B515" s="2" t="s">
        <v>159</v>
      </c>
      <c r="C515" s="2" t="s">
        <v>16</v>
      </c>
      <c r="D515" s="2">
        <v>18</v>
      </c>
      <c r="E515" s="2" t="s">
        <v>17</v>
      </c>
      <c r="F515" s="2">
        <v>6</v>
      </c>
      <c r="G515" s="2">
        <v>64</v>
      </c>
      <c r="H515" s="2">
        <v>52</v>
      </c>
      <c r="I515" s="2">
        <v>44</v>
      </c>
      <c r="J515" s="2">
        <v>71.959999999999994</v>
      </c>
      <c r="K515" s="2" t="s">
        <v>31</v>
      </c>
      <c r="L515" s="1">
        <f t="shared" si="22"/>
        <v>53.333333333333336</v>
      </c>
      <c r="M515" s="2" t="str">
        <f t="shared" si="23"/>
        <v>Pass</v>
      </c>
      <c r="N515" s="2" t="str">
        <f t="shared" si="24"/>
        <v>Monitor</v>
      </c>
    </row>
    <row r="516" spans="1:14" x14ac:dyDescent="0.3">
      <c r="A516" s="2" t="s">
        <v>727</v>
      </c>
      <c r="B516" s="2" t="s">
        <v>420</v>
      </c>
      <c r="C516" s="2" t="s">
        <v>21</v>
      </c>
      <c r="D516" s="2">
        <v>19</v>
      </c>
      <c r="E516" s="2" t="s">
        <v>50</v>
      </c>
      <c r="F516" s="2">
        <v>1</v>
      </c>
      <c r="G516" s="2">
        <v>84</v>
      </c>
      <c r="H516" s="2">
        <v>56</v>
      </c>
      <c r="I516" s="2">
        <v>58</v>
      </c>
      <c r="J516" s="2">
        <v>91.78</v>
      </c>
      <c r="K516" s="2" t="s">
        <v>22</v>
      </c>
      <c r="L516" s="1">
        <f t="shared" ref="L516:L579" si="25">AVERAGE(G516:I516)</f>
        <v>66</v>
      </c>
      <c r="M516" s="2" t="str">
        <f t="shared" ref="M516:M579" si="26">IF(OR(G516&lt;40, H516&lt;40, I516&lt;40), "Fail", "Pass")</f>
        <v>Pass</v>
      </c>
      <c r="N516" s="2" t="str">
        <f t="shared" si="24"/>
        <v>Stable</v>
      </c>
    </row>
    <row r="517" spans="1:14" x14ac:dyDescent="0.3">
      <c r="A517" s="2" t="s">
        <v>728</v>
      </c>
      <c r="B517" s="2" t="s">
        <v>204</v>
      </c>
      <c r="C517" s="2" t="s">
        <v>21</v>
      </c>
      <c r="D517" s="2">
        <v>21</v>
      </c>
      <c r="E517" s="2" t="s">
        <v>50</v>
      </c>
      <c r="F517" s="2">
        <v>1</v>
      </c>
      <c r="G517" s="2">
        <v>75</v>
      </c>
      <c r="H517" s="2">
        <v>70</v>
      </c>
      <c r="I517" s="2">
        <v>61</v>
      </c>
      <c r="J517" s="2">
        <v>96.1</v>
      </c>
      <c r="K517" s="2" t="s">
        <v>22</v>
      </c>
      <c r="L517" s="1">
        <f t="shared" si="25"/>
        <v>68.666666666666671</v>
      </c>
      <c r="M517" s="2" t="str">
        <f t="shared" si="26"/>
        <v>Pass</v>
      </c>
      <c r="N517" s="2" t="str">
        <f t="shared" si="24"/>
        <v>Stable</v>
      </c>
    </row>
    <row r="518" spans="1:14" x14ac:dyDescent="0.3">
      <c r="A518" s="2" t="s">
        <v>729</v>
      </c>
      <c r="B518" s="2" t="s">
        <v>138</v>
      </c>
      <c r="C518" s="2" t="s">
        <v>21</v>
      </c>
      <c r="D518" s="2">
        <v>22</v>
      </c>
      <c r="E518" s="2" t="s">
        <v>34</v>
      </c>
      <c r="F518" s="2">
        <v>1</v>
      </c>
      <c r="G518" s="2">
        <v>52</v>
      </c>
      <c r="H518" s="2">
        <v>87</v>
      </c>
      <c r="I518" s="2">
        <v>65</v>
      </c>
      <c r="J518" s="2">
        <v>67.08</v>
      </c>
      <c r="K518" s="2" t="s">
        <v>22</v>
      </c>
      <c r="L518" s="1">
        <f t="shared" si="25"/>
        <v>68</v>
      </c>
      <c r="M518" s="2" t="str">
        <f t="shared" si="26"/>
        <v>Pass</v>
      </c>
      <c r="N518" s="2" t="str">
        <f t="shared" si="24"/>
        <v>Stable</v>
      </c>
    </row>
    <row r="519" spans="1:14" x14ac:dyDescent="0.3">
      <c r="A519" s="2" t="s">
        <v>730</v>
      </c>
      <c r="B519" s="2" t="s">
        <v>47</v>
      </c>
      <c r="C519" s="2" t="s">
        <v>21</v>
      </c>
      <c r="D519" s="2">
        <v>19</v>
      </c>
      <c r="E519" s="2" t="s">
        <v>37</v>
      </c>
      <c r="F519" s="2">
        <v>5</v>
      </c>
      <c r="G519" s="2">
        <v>88</v>
      </c>
      <c r="H519" s="2">
        <v>45</v>
      </c>
      <c r="I519" s="2">
        <v>36</v>
      </c>
      <c r="J519" s="2">
        <v>62.81</v>
      </c>
      <c r="K519" s="2" t="s">
        <v>31</v>
      </c>
      <c r="L519" s="1">
        <f t="shared" si="25"/>
        <v>56.333333333333336</v>
      </c>
      <c r="M519" s="2" t="str">
        <f t="shared" si="26"/>
        <v>Fail</v>
      </c>
      <c r="N519" s="2" t="str">
        <f t="shared" si="24"/>
        <v>High Risk</v>
      </c>
    </row>
    <row r="520" spans="1:14" x14ac:dyDescent="0.3">
      <c r="A520" s="2" t="s">
        <v>731</v>
      </c>
      <c r="B520" s="2" t="s">
        <v>72</v>
      </c>
      <c r="C520" s="2" t="s">
        <v>21</v>
      </c>
      <c r="D520" s="2">
        <v>19</v>
      </c>
      <c r="E520" s="2" t="s">
        <v>50</v>
      </c>
      <c r="F520" s="2">
        <v>5</v>
      </c>
      <c r="G520" s="2">
        <v>87</v>
      </c>
      <c r="H520" s="2">
        <v>72</v>
      </c>
      <c r="I520" s="2">
        <v>56</v>
      </c>
      <c r="J520" s="2">
        <v>94.42</v>
      </c>
      <c r="K520" s="2" t="s">
        <v>28</v>
      </c>
      <c r="L520" s="1">
        <f t="shared" si="25"/>
        <v>71.666666666666671</v>
      </c>
      <c r="M520" s="2" t="str">
        <f t="shared" si="26"/>
        <v>Pass</v>
      </c>
      <c r="N520" s="2" t="str">
        <f t="shared" si="24"/>
        <v>Stable</v>
      </c>
    </row>
    <row r="521" spans="1:14" x14ac:dyDescent="0.3">
      <c r="A521" s="2" t="s">
        <v>732</v>
      </c>
      <c r="B521" s="2" t="s">
        <v>194</v>
      </c>
      <c r="C521" s="2" t="s">
        <v>21</v>
      </c>
      <c r="D521" s="2">
        <v>18</v>
      </c>
      <c r="E521" s="2" t="s">
        <v>27</v>
      </c>
      <c r="F521" s="2">
        <v>4</v>
      </c>
      <c r="G521" s="2">
        <v>60</v>
      </c>
      <c r="H521" s="2">
        <v>100</v>
      </c>
      <c r="I521" s="2">
        <v>44</v>
      </c>
      <c r="J521" s="2">
        <v>88.22</v>
      </c>
      <c r="K521" s="2" t="s">
        <v>22</v>
      </c>
      <c r="L521" s="1">
        <f t="shared" si="25"/>
        <v>68</v>
      </c>
      <c r="M521" s="2" t="str">
        <f t="shared" si="26"/>
        <v>Pass</v>
      </c>
      <c r="N521" s="2" t="str">
        <f t="shared" si="24"/>
        <v>Stable</v>
      </c>
    </row>
    <row r="522" spans="1:14" x14ac:dyDescent="0.3">
      <c r="A522" s="2" t="s">
        <v>733</v>
      </c>
      <c r="B522" s="2" t="s">
        <v>33</v>
      </c>
      <c r="C522" s="2" t="s">
        <v>16</v>
      </c>
      <c r="D522" s="2">
        <v>20</v>
      </c>
      <c r="E522" s="2" t="s">
        <v>50</v>
      </c>
      <c r="F522" s="2">
        <v>5</v>
      </c>
      <c r="G522" s="2">
        <v>55</v>
      </c>
      <c r="H522" s="2">
        <v>90</v>
      </c>
      <c r="I522" s="2">
        <v>87</v>
      </c>
      <c r="J522" s="2">
        <v>87.75</v>
      </c>
      <c r="K522" s="2" t="s">
        <v>28</v>
      </c>
      <c r="L522" s="1">
        <f t="shared" si="25"/>
        <v>77.333333333333329</v>
      </c>
      <c r="M522" s="2" t="str">
        <f t="shared" si="26"/>
        <v>Pass</v>
      </c>
      <c r="N522" s="2" t="str">
        <f t="shared" si="24"/>
        <v>Stable</v>
      </c>
    </row>
    <row r="523" spans="1:14" x14ac:dyDescent="0.3">
      <c r="A523" s="2" t="s">
        <v>734</v>
      </c>
      <c r="B523" s="2" t="s">
        <v>506</v>
      </c>
      <c r="C523" s="2" t="s">
        <v>21</v>
      </c>
      <c r="D523" s="2">
        <v>19</v>
      </c>
      <c r="E523" s="2" t="s">
        <v>34</v>
      </c>
      <c r="F523" s="2">
        <v>1</v>
      </c>
      <c r="G523" s="2">
        <v>57</v>
      </c>
      <c r="H523" s="2">
        <v>69</v>
      </c>
      <c r="I523" s="2">
        <v>47</v>
      </c>
      <c r="J523" s="2">
        <v>81.08</v>
      </c>
      <c r="K523" s="2" t="s">
        <v>31</v>
      </c>
      <c r="L523" s="1">
        <f t="shared" si="25"/>
        <v>57.666666666666664</v>
      </c>
      <c r="M523" s="2" t="str">
        <f t="shared" si="26"/>
        <v>Pass</v>
      </c>
      <c r="N523" s="2" t="str">
        <f t="shared" si="24"/>
        <v>Monitor</v>
      </c>
    </row>
    <row r="524" spans="1:14" x14ac:dyDescent="0.3">
      <c r="A524" s="2" t="s">
        <v>735</v>
      </c>
      <c r="B524" s="2" t="s">
        <v>270</v>
      </c>
      <c r="C524" s="2" t="s">
        <v>21</v>
      </c>
      <c r="D524" s="2">
        <v>18</v>
      </c>
      <c r="E524" s="2" t="s">
        <v>27</v>
      </c>
      <c r="F524" s="2">
        <v>3</v>
      </c>
      <c r="G524" s="2">
        <v>50</v>
      </c>
      <c r="H524" s="2">
        <v>92</v>
      </c>
      <c r="I524" s="2">
        <v>90</v>
      </c>
      <c r="J524" s="2">
        <v>72.33</v>
      </c>
      <c r="K524" s="2" t="s">
        <v>28</v>
      </c>
      <c r="L524" s="1">
        <f t="shared" si="25"/>
        <v>77.333333333333329</v>
      </c>
      <c r="M524" s="2" t="str">
        <f t="shared" si="26"/>
        <v>Pass</v>
      </c>
      <c r="N524" s="2" t="str">
        <f t="shared" si="24"/>
        <v>Stable</v>
      </c>
    </row>
    <row r="525" spans="1:14" x14ac:dyDescent="0.3">
      <c r="A525" s="2" t="s">
        <v>736</v>
      </c>
      <c r="B525" s="2" t="s">
        <v>326</v>
      </c>
      <c r="C525" s="2" t="s">
        <v>21</v>
      </c>
      <c r="D525" s="2">
        <v>22</v>
      </c>
      <c r="E525" s="2" t="s">
        <v>50</v>
      </c>
      <c r="F525" s="2">
        <v>6</v>
      </c>
      <c r="G525" s="2">
        <v>46</v>
      </c>
      <c r="H525" s="2">
        <v>80</v>
      </c>
      <c r="I525" s="2">
        <v>93</v>
      </c>
      <c r="J525" s="2">
        <v>73.61</v>
      </c>
      <c r="K525" s="2" t="s">
        <v>28</v>
      </c>
      <c r="L525" s="1">
        <f t="shared" si="25"/>
        <v>73</v>
      </c>
      <c r="M525" s="2" t="str">
        <f t="shared" si="26"/>
        <v>Pass</v>
      </c>
      <c r="N525" s="2" t="str">
        <f t="shared" si="24"/>
        <v>Stable</v>
      </c>
    </row>
    <row r="526" spans="1:14" x14ac:dyDescent="0.3">
      <c r="A526" s="2" t="s">
        <v>737</v>
      </c>
      <c r="B526" s="2" t="s">
        <v>134</v>
      </c>
      <c r="C526" s="2" t="s">
        <v>21</v>
      </c>
      <c r="D526" s="2">
        <v>22</v>
      </c>
      <c r="E526" s="2" t="s">
        <v>17</v>
      </c>
      <c r="F526" s="2">
        <v>5</v>
      </c>
      <c r="G526" s="2">
        <v>59</v>
      </c>
      <c r="H526" s="2">
        <v>67</v>
      </c>
      <c r="I526" s="2">
        <v>77</v>
      </c>
      <c r="J526" s="2">
        <v>90.05</v>
      </c>
      <c r="K526" s="2" t="s">
        <v>22</v>
      </c>
      <c r="L526" s="1">
        <f t="shared" si="25"/>
        <v>67.666666666666671</v>
      </c>
      <c r="M526" s="2" t="str">
        <f t="shared" si="26"/>
        <v>Pass</v>
      </c>
      <c r="N526" s="2" t="str">
        <f t="shared" si="24"/>
        <v>Stable</v>
      </c>
    </row>
    <row r="527" spans="1:14" x14ac:dyDescent="0.3">
      <c r="A527" s="2" t="s">
        <v>738</v>
      </c>
      <c r="B527" s="2" t="s">
        <v>123</v>
      </c>
      <c r="C527" s="2" t="s">
        <v>21</v>
      </c>
      <c r="D527" s="2">
        <v>18</v>
      </c>
      <c r="E527" s="2" t="s">
        <v>34</v>
      </c>
      <c r="F527" s="2">
        <v>5</v>
      </c>
      <c r="G527" s="2">
        <v>94</v>
      </c>
      <c r="H527" s="2">
        <v>73</v>
      </c>
      <c r="I527" s="2">
        <v>36</v>
      </c>
      <c r="J527" s="2">
        <v>77.599999999999994</v>
      </c>
      <c r="K527" s="2" t="s">
        <v>22</v>
      </c>
      <c r="L527" s="1">
        <f t="shared" si="25"/>
        <v>67.666666666666671</v>
      </c>
      <c r="M527" s="2" t="str">
        <f t="shared" si="26"/>
        <v>Fail</v>
      </c>
      <c r="N527" s="2" t="str">
        <f t="shared" si="24"/>
        <v>High Risk</v>
      </c>
    </row>
    <row r="528" spans="1:14" x14ac:dyDescent="0.3">
      <c r="A528" s="2" t="s">
        <v>739</v>
      </c>
      <c r="B528" s="2" t="s">
        <v>335</v>
      </c>
      <c r="C528" s="2" t="s">
        <v>21</v>
      </c>
      <c r="D528" s="2">
        <v>22</v>
      </c>
      <c r="E528" s="2" t="s">
        <v>37</v>
      </c>
      <c r="F528" s="2">
        <v>1</v>
      </c>
      <c r="G528" s="2">
        <v>100</v>
      </c>
      <c r="H528" s="2">
        <v>93</v>
      </c>
      <c r="I528" s="2">
        <v>40</v>
      </c>
      <c r="J528" s="2">
        <v>75.59</v>
      </c>
      <c r="K528" s="2" t="s">
        <v>28</v>
      </c>
      <c r="L528" s="1">
        <f t="shared" si="25"/>
        <v>77.666666666666671</v>
      </c>
      <c r="M528" s="2" t="str">
        <f t="shared" si="26"/>
        <v>Pass</v>
      </c>
      <c r="N528" s="2" t="str">
        <f t="shared" si="24"/>
        <v>Stable</v>
      </c>
    </row>
    <row r="529" spans="1:14" x14ac:dyDescent="0.3">
      <c r="A529" s="2" t="s">
        <v>740</v>
      </c>
      <c r="B529" s="2" t="s">
        <v>438</v>
      </c>
      <c r="C529" s="2" t="s">
        <v>16</v>
      </c>
      <c r="D529" s="2">
        <v>21</v>
      </c>
      <c r="E529" s="2" t="s">
        <v>27</v>
      </c>
      <c r="F529" s="2">
        <v>2</v>
      </c>
      <c r="G529" s="2">
        <v>86</v>
      </c>
      <c r="H529" s="2">
        <v>81</v>
      </c>
      <c r="I529" s="2">
        <v>46</v>
      </c>
      <c r="J529" s="2">
        <v>64.400000000000006</v>
      </c>
      <c r="K529" s="2" t="s">
        <v>28</v>
      </c>
      <c r="L529" s="1">
        <f t="shared" si="25"/>
        <v>71</v>
      </c>
      <c r="M529" s="2" t="str">
        <f t="shared" si="26"/>
        <v>Pass</v>
      </c>
      <c r="N529" s="2" t="str">
        <f t="shared" si="24"/>
        <v>Stable</v>
      </c>
    </row>
    <row r="530" spans="1:14" x14ac:dyDescent="0.3">
      <c r="A530" s="2" t="s">
        <v>741</v>
      </c>
      <c r="B530" s="2" t="s">
        <v>551</v>
      </c>
      <c r="C530" s="2" t="s">
        <v>16</v>
      </c>
      <c r="D530" s="2">
        <v>20</v>
      </c>
      <c r="E530" s="2" t="s">
        <v>37</v>
      </c>
      <c r="F530" s="2">
        <v>1</v>
      </c>
      <c r="G530" s="2">
        <v>76</v>
      </c>
      <c r="H530" s="2">
        <v>62</v>
      </c>
      <c r="I530" s="2">
        <v>58</v>
      </c>
      <c r="J530" s="2">
        <v>99.99</v>
      </c>
      <c r="K530" s="2" t="s">
        <v>22</v>
      </c>
      <c r="L530" s="1">
        <f t="shared" si="25"/>
        <v>65.333333333333329</v>
      </c>
      <c r="M530" s="2" t="str">
        <f t="shared" si="26"/>
        <v>Pass</v>
      </c>
      <c r="N530" s="2" t="str">
        <f t="shared" si="24"/>
        <v>Stable</v>
      </c>
    </row>
    <row r="531" spans="1:14" x14ac:dyDescent="0.3">
      <c r="A531" s="2" t="s">
        <v>742</v>
      </c>
      <c r="B531" s="2" t="s">
        <v>496</v>
      </c>
      <c r="C531" s="2" t="s">
        <v>21</v>
      </c>
      <c r="D531" s="2">
        <v>18</v>
      </c>
      <c r="E531" s="2" t="s">
        <v>17</v>
      </c>
      <c r="F531" s="2">
        <v>6</v>
      </c>
      <c r="G531" s="2">
        <v>65</v>
      </c>
      <c r="H531" s="2">
        <v>37</v>
      </c>
      <c r="I531" s="2">
        <v>85</v>
      </c>
      <c r="J531" s="2">
        <v>91.19</v>
      </c>
      <c r="K531" s="2" t="s">
        <v>22</v>
      </c>
      <c r="L531" s="1">
        <f t="shared" si="25"/>
        <v>62.333333333333336</v>
      </c>
      <c r="M531" s="2" t="str">
        <f t="shared" si="26"/>
        <v>Fail</v>
      </c>
      <c r="N531" s="2" t="str">
        <f t="shared" si="24"/>
        <v>High Risk</v>
      </c>
    </row>
    <row r="532" spans="1:14" x14ac:dyDescent="0.3">
      <c r="A532" s="2" t="s">
        <v>743</v>
      </c>
      <c r="B532" s="2" t="s">
        <v>291</v>
      </c>
      <c r="C532" s="2" t="s">
        <v>16</v>
      </c>
      <c r="D532" s="2">
        <v>21</v>
      </c>
      <c r="E532" s="2" t="s">
        <v>27</v>
      </c>
      <c r="F532" s="2">
        <v>3</v>
      </c>
      <c r="G532" s="2">
        <v>93</v>
      </c>
      <c r="H532" s="2">
        <v>78</v>
      </c>
      <c r="I532" s="2">
        <v>92</v>
      </c>
      <c r="J532" s="2">
        <v>89.42</v>
      </c>
      <c r="K532" s="2" t="s">
        <v>18</v>
      </c>
      <c r="L532" s="1">
        <f t="shared" si="25"/>
        <v>87.666666666666671</v>
      </c>
      <c r="M532" s="2" t="str">
        <f t="shared" si="26"/>
        <v>Pass</v>
      </c>
      <c r="N532" s="2" t="str">
        <f t="shared" si="24"/>
        <v>Stable</v>
      </c>
    </row>
    <row r="533" spans="1:14" x14ac:dyDescent="0.3">
      <c r="A533" s="2" t="s">
        <v>744</v>
      </c>
      <c r="B533" s="2" t="s">
        <v>542</v>
      </c>
      <c r="C533" s="2" t="s">
        <v>21</v>
      </c>
      <c r="D533" s="2">
        <v>22</v>
      </c>
      <c r="E533" s="2" t="s">
        <v>34</v>
      </c>
      <c r="F533" s="2">
        <v>1</v>
      </c>
      <c r="G533" s="2">
        <v>81</v>
      </c>
      <c r="H533" s="2">
        <v>53</v>
      </c>
      <c r="I533" s="2">
        <v>70</v>
      </c>
      <c r="J533" s="2">
        <v>76.540000000000006</v>
      </c>
      <c r="K533" s="2" t="s">
        <v>22</v>
      </c>
      <c r="L533" s="1">
        <f t="shared" si="25"/>
        <v>68</v>
      </c>
      <c r="M533" s="2" t="str">
        <f t="shared" si="26"/>
        <v>Pass</v>
      </c>
      <c r="N533" s="2" t="str">
        <f t="shared" si="24"/>
        <v>Stable</v>
      </c>
    </row>
    <row r="534" spans="1:14" x14ac:dyDescent="0.3">
      <c r="A534" s="2" t="s">
        <v>745</v>
      </c>
      <c r="B534" s="2" t="s">
        <v>364</v>
      </c>
      <c r="C534" s="2" t="s">
        <v>21</v>
      </c>
      <c r="D534" s="2">
        <v>22</v>
      </c>
      <c r="E534" s="2" t="s">
        <v>27</v>
      </c>
      <c r="F534" s="2">
        <v>4</v>
      </c>
      <c r="G534" s="2">
        <v>35</v>
      </c>
      <c r="H534" s="2">
        <v>99</v>
      </c>
      <c r="I534" s="2">
        <v>55</v>
      </c>
      <c r="J534" s="2">
        <v>70.08</v>
      </c>
      <c r="K534" s="2" t="s">
        <v>22</v>
      </c>
      <c r="L534" s="1">
        <f t="shared" si="25"/>
        <v>63</v>
      </c>
      <c r="M534" s="2" t="str">
        <f t="shared" si="26"/>
        <v>Fail</v>
      </c>
      <c r="N534" s="2" t="str">
        <f t="shared" si="24"/>
        <v>High Risk</v>
      </c>
    </row>
    <row r="535" spans="1:14" x14ac:dyDescent="0.3">
      <c r="A535" s="2" t="s">
        <v>746</v>
      </c>
      <c r="B535" s="2" t="s">
        <v>555</v>
      </c>
      <c r="C535" s="2" t="s">
        <v>16</v>
      </c>
      <c r="D535" s="2">
        <v>21</v>
      </c>
      <c r="E535" s="2" t="s">
        <v>50</v>
      </c>
      <c r="F535" s="2">
        <v>1</v>
      </c>
      <c r="G535" s="2">
        <v>48</v>
      </c>
      <c r="H535" s="2">
        <v>84</v>
      </c>
      <c r="I535" s="2">
        <v>86</v>
      </c>
      <c r="J535" s="2">
        <v>76.180000000000007</v>
      </c>
      <c r="K535" s="2" t="s">
        <v>28</v>
      </c>
      <c r="L535" s="1">
        <f t="shared" si="25"/>
        <v>72.666666666666671</v>
      </c>
      <c r="M535" s="2" t="str">
        <f t="shared" si="26"/>
        <v>Pass</v>
      </c>
      <c r="N535" s="2" t="str">
        <f t="shared" si="24"/>
        <v>Stable</v>
      </c>
    </row>
    <row r="536" spans="1:14" x14ac:dyDescent="0.3">
      <c r="A536" s="2" t="s">
        <v>747</v>
      </c>
      <c r="B536" s="2" t="s">
        <v>258</v>
      </c>
      <c r="C536" s="2" t="s">
        <v>16</v>
      </c>
      <c r="D536" s="2">
        <v>20</v>
      </c>
      <c r="E536" s="2" t="s">
        <v>27</v>
      </c>
      <c r="F536" s="2">
        <v>1</v>
      </c>
      <c r="G536" s="2">
        <v>43</v>
      </c>
      <c r="H536" s="2">
        <v>80</v>
      </c>
      <c r="I536" s="2">
        <v>94</v>
      </c>
      <c r="J536" s="2">
        <v>97.45</v>
      </c>
      <c r="K536" s="2" t="s">
        <v>28</v>
      </c>
      <c r="L536" s="1">
        <f t="shared" si="25"/>
        <v>72.333333333333329</v>
      </c>
      <c r="M536" s="2" t="str">
        <f t="shared" si="26"/>
        <v>Pass</v>
      </c>
      <c r="N536" s="2" t="str">
        <f t="shared" si="24"/>
        <v>Stable</v>
      </c>
    </row>
    <row r="537" spans="1:14" x14ac:dyDescent="0.3">
      <c r="A537" s="2" t="s">
        <v>748</v>
      </c>
      <c r="B537" s="2" t="s">
        <v>26</v>
      </c>
      <c r="C537" s="2" t="s">
        <v>16</v>
      </c>
      <c r="D537" s="2">
        <v>22</v>
      </c>
      <c r="E537" s="2" t="s">
        <v>34</v>
      </c>
      <c r="F537" s="2">
        <v>3</v>
      </c>
      <c r="G537" s="2">
        <v>92</v>
      </c>
      <c r="H537" s="2">
        <v>99</v>
      </c>
      <c r="I537" s="2">
        <v>77</v>
      </c>
      <c r="J537" s="2">
        <v>67.36</v>
      </c>
      <c r="K537" s="2" t="s">
        <v>18</v>
      </c>
      <c r="L537" s="1">
        <f t="shared" si="25"/>
        <v>89.333333333333329</v>
      </c>
      <c r="M537" s="2" t="str">
        <f t="shared" si="26"/>
        <v>Pass</v>
      </c>
      <c r="N537" s="2" t="str">
        <f t="shared" si="24"/>
        <v>Stable</v>
      </c>
    </row>
    <row r="538" spans="1:14" x14ac:dyDescent="0.3">
      <c r="A538" s="2" t="s">
        <v>749</v>
      </c>
      <c r="B538" s="2" t="s">
        <v>100</v>
      </c>
      <c r="C538" s="2" t="s">
        <v>16</v>
      </c>
      <c r="D538" s="2">
        <v>18</v>
      </c>
      <c r="E538" s="2" t="s">
        <v>17</v>
      </c>
      <c r="F538" s="2">
        <v>1</v>
      </c>
      <c r="G538" s="2">
        <v>64</v>
      </c>
      <c r="H538" s="2">
        <v>35</v>
      </c>
      <c r="I538" s="2">
        <v>53</v>
      </c>
      <c r="J538" s="2">
        <v>82.27</v>
      </c>
      <c r="K538" s="2" t="s">
        <v>31</v>
      </c>
      <c r="L538" s="1">
        <f t="shared" si="25"/>
        <v>50.666666666666664</v>
      </c>
      <c r="M538" s="2" t="str">
        <f t="shared" si="26"/>
        <v>Fail</v>
      </c>
      <c r="N538" s="2" t="str">
        <f t="shared" si="24"/>
        <v>High Risk</v>
      </c>
    </row>
    <row r="539" spans="1:14" x14ac:dyDescent="0.3">
      <c r="A539" s="2" t="s">
        <v>750</v>
      </c>
      <c r="B539" s="2" t="s">
        <v>322</v>
      </c>
      <c r="C539" s="2" t="s">
        <v>21</v>
      </c>
      <c r="D539" s="2">
        <v>18</v>
      </c>
      <c r="E539" s="2" t="s">
        <v>50</v>
      </c>
      <c r="F539" s="2">
        <v>5</v>
      </c>
      <c r="G539" s="2">
        <v>94</v>
      </c>
      <c r="H539" s="2">
        <v>48</v>
      </c>
      <c r="I539" s="2">
        <v>78</v>
      </c>
      <c r="J539" s="2">
        <v>92.32</v>
      </c>
      <c r="K539" s="2" t="s">
        <v>28</v>
      </c>
      <c r="L539" s="1">
        <f t="shared" si="25"/>
        <v>73.333333333333329</v>
      </c>
      <c r="M539" s="2" t="str">
        <f t="shared" si="26"/>
        <v>Pass</v>
      </c>
      <c r="N539" s="2" t="str">
        <f t="shared" si="24"/>
        <v>Stable</v>
      </c>
    </row>
    <row r="540" spans="1:14" x14ac:dyDescent="0.3">
      <c r="A540" s="2" t="s">
        <v>751</v>
      </c>
      <c r="B540" s="2" t="s">
        <v>604</v>
      </c>
      <c r="C540" s="2" t="s">
        <v>21</v>
      </c>
      <c r="D540" s="2">
        <v>20</v>
      </c>
      <c r="E540" s="2" t="s">
        <v>50</v>
      </c>
      <c r="F540" s="2">
        <v>2</v>
      </c>
      <c r="G540" s="2">
        <v>72</v>
      </c>
      <c r="H540" s="2">
        <v>49</v>
      </c>
      <c r="I540" s="2">
        <v>53</v>
      </c>
      <c r="J540" s="2">
        <v>90.7</v>
      </c>
      <c r="K540" s="2" t="s">
        <v>31</v>
      </c>
      <c r="L540" s="1">
        <f t="shared" si="25"/>
        <v>58</v>
      </c>
      <c r="M540" s="2" t="str">
        <f t="shared" si="26"/>
        <v>Pass</v>
      </c>
      <c r="N540" s="2" t="str">
        <f t="shared" si="24"/>
        <v>Monitor</v>
      </c>
    </row>
    <row r="541" spans="1:14" x14ac:dyDescent="0.3">
      <c r="A541" s="2" t="s">
        <v>752</v>
      </c>
      <c r="B541" s="2" t="s">
        <v>84</v>
      </c>
      <c r="C541" s="2" t="s">
        <v>21</v>
      </c>
      <c r="D541" s="2">
        <v>18</v>
      </c>
      <c r="E541" s="2" t="s">
        <v>37</v>
      </c>
      <c r="F541" s="2">
        <v>2</v>
      </c>
      <c r="G541" s="2">
        <v>46</v>
      </c>
      <c r="H541" s="2">
        <v>54</v>
      </c>
      <c r="I541" s="2">
        <v>44</v>
      </c>
      <c r="J541" s="2">
        <v>70.489999999999995</v>
      </c>
      <c r="K541" s="2" t="s">
        <v>55</v>
      </c>
      <c r="L541" s="1">
        <f t="shared" si="25"/>
        <v>48</v>
      </c>
      <c r="M541" s="2" t="str">
        <f t="shared" si="26"/>
        <v>Pass</v>
      </c>
      <c r="N541" s="2" t="str">
        <f t="shared" si="24"/>
        <v>Monitor</v>
      </c>
    </row>
    <row r="542" spans="1:14" x14ac:dyDescent="0.3">
      <c r="A542" s="2" t="s">
        <v>753</v>
      </c>
      <c r="B542" s="2" t="s">
        <v>438</v>
      </c>
      <c r="C542" s="2" t="s">
        <v>16</v>
      </c>
      <c r="D542" s="2">
        <v>21</v>
      </c>
      <c r="E542" s="2" t="s">
        <v>34</v>
      </c>
      <c r="F542" s="2">
        <v>4</v>
      </c>
      <c r="G542" s="2">
        <v>73</v>
      </c>
      <c r="H542" s="2">
        <v>64</v>
      </c>
      <c r="I542" s="2">
        <v>86</v>
      </c>
      <c r="J542" s="2">
        <v>83.81</v>
      </c>
      <c r="K542" s="2" t="s">
        <v>28</v>
      </c>
      <c r="L542" s="1">
        <f t="shared" si="25"/>
        <v>74.333333333333329</v>
      </c>
      <c r="M542" s="2" t="str">
        <f t="shared" si="26"/>
        <v>Pass</v>
      </c>
      <c r="N542" s="2" t="str">
        <f t="shared" si="24"/>
        <v>Stable</v>
      </c>
    </row>
    <row r="543" spans="1:14" x14ac:dyDescent="0.3">
      <c r="A543" s="2" t="s">
        <v>754</v>
      </c>
      <c r="B543" s="2" t="s">
        <v>24</v>
      </c>
      <c r="C543" s="2" t="s">
        <v>21</v>
      </c>
      <c r="D543" s="2">
        <v>18</v>
      </c>
      <c r="E543" s="2" t="s">
        <v>37</v>
      </c>
      <c r="F543" s="2">
        <v>5</v>
      </c>
      <c r="G543" s="2">
        <v>67</v>
      </c>
      <c r="H543" s="2">
        <v>90</v>
      </c>
      <c r="I543" s="2">
        <v>99</v>
      </c>
      <c r="J543" s="2">
        <v>80.86</v>
      </c>
      <c r="K543" s="2" t="s">
        <v>18</v>
      </c>
      <c r="L543" s="1">
        <f t="shared" si="25"/>
        <v>85.333333333333329</v>
      </c>
      <c r="M543" s="2" t="str">
        <f t="shared" si="26"/>
        <v>Pass</v>
      </c>
      <c r="N543" s="2" t="str">
        <f t="shared" si="24"/>
        <v>Stable</v>
      </c>
    </row>
    <row r="544" spans="1:14" x14ac:dyDescent="0.3">
      <c r="A544" s="2" t="s">
        <v>755</v>
      </c>
      <c r="B544" s="2" t="s">
        <v>756</v>
      </c>
      <c r="C544" s="2" t="s">
        <v>21</v>
      </c>
      <c r="D544" s="2">
        <v>23</v>
      </c>
      <c r="E544" s="2" t="s">
        <v>27</v>
      </c>
      <c r="F544" s="2">
        <v>5</v>
      </c>
      <c r="G544" s="2">
        <v>65</v>
      </c>
      <c r="H544" s="2">
        <v>62</v>
      </c>
      <c r="I544" s="2">
        <v>48</v>
      </c>
      <c r="J544" s="2">
        <v>67.819999999999993</v>
      </c>
      <c r="K544" s="2" t="s">
        <v>31</v>
      </c>
      <c r="L544" s="1">
        <f t="shared" si="25"/>
        <v>58.333333333333336</v>
      </c>
      <c r="M544" s="2" t="str">
        <f t="shared" si="26"/>
        <v>Pass</v>
      </c>
      <c r="N544" s="2" t="str">
        <f t="shared" si="24"/>
        <v>Monitor</v>
      </c>
    </row>
    <row r="545" spans="1:14" x14ac:dyDescent="0.3">
      <c r="A545" s="2" t="s">
        <v>757</v>
      </c>
      <c r="B545" s="2" t="s">
        <v>267</v>
      </c>
      <c r="C545" s="2" t="s">
        <v>16</v>
      </c>
      <c r="D545" s="2">
        <v>19</v>
      </c>
      <c r="E545" s="2" t="s">
        <v>34</v>
      </c>
      <c r="F545" s="2">
        <v>1</v>
      </c>
      <c r="G545" s="2">
        <v>51</v>
      </c>
      <c r="H545" s="2">
        <v>86</v>
      </c>
      <c r="I545" s="2">
        <v>36</v>
      </c>
      <c r="J545" s="2">
        <v>63.05</v>
      </c>
      <c r="K545" s="2" t="s">
        <v>31</v>
      </c>
      <c r="L545" s="1">
        <f t="shared" si="25"/>
        <v>57.666666666666664</v>
      </c>
      <c r="M545" s="2" t="str">
        <f t="shared" si="26"/>
        <v>Fail</v>
      </c>
      <c r="N545" s="2" t="str">
        <f t="shared" si="24"/>
        <v>High Risk</v>
      </c>
    </row>
    <row r="546" spans="1:14" x14ac:dyDescent="0.3">
      <c r="A546" s="2" t="s">
        <v>758</v>
      </c>
      <c r="B546" s="2" t="s">
        <v>350</v>
      </c>
      <c r="C546" s="2" t="s">
        <v>21</v>
      </c>
      <c r="D546" s="2">
        <v>19</v>
      </c>
      <c r="E546" s="2" t="s">
        <v>50</v>
      </c>
      <c r="F546" s="2">
        <v>1</v>
      </c>
      <c r="G546" s="2">
        <v>94</v>
      </c>
      <c r="H546" s="2">
        <v>55</v>
      </c>
      <c r="I546" s="2">
        <v>46</v>
      </c>
      <c r="J546" s="2">
        <v>61.19</v>
      </c>
      <c r="K546" s="2" t="s">
        <v>22</v>
      </c>
      <c r="L546" s="1">
        <f t="shared" si="25"/>
        <v>65</v>
      </c>
      <c r="M546" s="2" t="str">
        <f t="shared" si="26"/>
        <v>Pass</v>
      </c>
      <c r="N546" s="2" t="str">
        <f t="shared" si="24"/>
        <v>Stable</v>
      </c>
    </row>
    <row r="547" spans="1:14" x14ac:dyDescent="0.3">
      <c r="A547" s="2" t="s">
        <v>759</v>
      </c>
      <c r="B547" s="2" t="s">
        <v>220</v>
      </c>
      <c r="C547" s="2" t="s">
        <v>16</v>
      </c>
      <c r="D547" s="2">
        <v>21</v>
      </c>
      <c r="E547" s="2" t="s">
        <v>50</v>
      </c>
      <c r="F547" s="2">
        <v>2</v>
      </c>
      <c r="G547" s="2">
        <v>41</v>
      </c>
      <c r="H547" s="2">
        <v>67</v>
      </c>
      <c r="I547" s="2">
        <v>42</v>
      </c>
      <c r="J547" s="2">
        <v>82.32</v>
      </c>
      <c r="K547" s="2" t="s">
        <v>31</v>
      </c>
      <c r="L547" s="1">
        <f t="shared" si="25"/>
        <v>50</v>
      </c>
      <c r="M547" s="2" t="str">
        <f t="shared" si="26"/>
        <v>Pass</v>
      </c>
      <c r="N547" s="2" t="str">
        <f t="shared" si="24"/>
        <v>Monitor</v>
      </c>
    </row>
    <row r="548" spans="1:14" x14ac:dyDescent="0.3">
      <c r="A548" s="2" t="s">
        <v>760</v>
      </c>
      <c r="B548" s="2" t="s">
        <v>604</v>
      </c>
      <c r="C548" s="2" t="s">
        <v>21</v>
      </c>
      <c r="D548" s="2">
        <v>19</v>
      </c>
      <c r="E548" s="2" t="s">
        <v>50</v>
      </c>
      <c r="F548" s="2">
        <v>4</v>
      </c>
      <c r="G548" s="2">
        <v>83</v>
      </c>
      <c r="H548" s="2">
        <v>83</v>
      </c>
      <c r="I548" s="2">
        <v>60</v>
      </c>
      <c r="J548" s="2">
        <v>98.39</v>
      </c>
      <c r="K548" s="2" t="s">
        <v>28</v>
      </c>
      <c r="L548" s="1">
        <f t="shared" si="25"/>
        <v>75.333333333333329</v>
      </c>
      <c r="M548" s="2" t="str">
        <f t="shared" si="26"/>
        <v>Pass</v>
      </c>
      <c r="N548" s="2" t="str">
        <f t="shared" si="24"/>
        <v>Stable</v>
      </c>
    </row>
    <row r="549" spans="1:14" x14ac:dyDescent="0.3">
      <c r="A549" s="2" t="s">
        <v>761</v>
      </c>
      <c r="B549" s="2" t="s">
        <v>329</v>
      </c>
      <c r="C549" s="2" t="s">
        <v>16</v>
      </c>
      <c r="D549" s="2">
        <v>18</v>
      </c>
      <c r="E549" s="2" t="s">
        <v>17</v>
      </c>
      <c r="F549" s="2">
        <v>3</v>
      </c>
      <c r="G549" s="2">
        <v>41</v>
      </c>
      <c r="H549" s="2">
        <v>41</v>
      </c>
      <c r="I549" s="2">
        <v>96</v>
      </c>
      <c r="J549" s="2">
        <v>67.099999999999994</v>
      </c>
      <c r="K549" s="2" t="s">
        <v>31</v>
      </c>
      <c r="L549" s="1">
        <f t="shared" si="25"/>
        <v>59.333333333333336</v>
      </c>
      <c r="M549" s="2" t="str">
        <f t="shared" si="26"/>
        <v>Pass</v>
      </c>
      <c r="N549" s="2" t="str">
        <f t="shared" si="24"/>
        <v>Monitor</v>
      </c>
    </row>
    <row r="550" spans="1:14" x14ac:dyDescent="0.3">
      <c r="A550" s="2" t="s">
        <v>762</v>
      </c>
      <c r="B550" s="2" t="s">
        <v>147</v>
      </c>
      <c r="C550" s="2" t="s">
        <v>21</v>
      </c>
      <c r="D550" s="2">
        <v>18</v>
      </c>
      <c r="E550" s="2" t="s">
        <v>34</v>
      </c>
      <c r="F550" s="2">
        <v>1</v>
      </c>
      <c r="G550" s="2">
        <v>51</v>
      </c>
      <c r="H550" s="2">
        <v>66</v>
      </c>
      <c r="I550" s="2">
        <v>39</v>
      </c>
      <c r="J550" s="2">
        <v>61.43</v>
      </c>
      <c r="K550" s="2" t="s">
        <v>31</v>
      </c>
      <c r="L550" s="1">
        <f t="shared" si="25"/>
        <v>52</v>
      </c>
      <c r="M550" s="2" t="str">
        <f t="shared" si="26"/>
        <v>Fail</v>
      </c>
      <c r="N550" s="2" t="str">
        <f t="shared" si="24"/>
        <v>High Risk</v>
      </c>
    </row>
    <row r="551" spans="1:14" x14ac:dyDescent="0.3">
      <c r="A551" s="2" t="s">
        <v>763</v>
      </c>
      <c r="B551" s="2" t="s">
        <v>267</v>
      </c>
      <c r="C551" s="2" t="s">
        <v>16</v>
      </c>
      <c r="D551" s="2">
        <v>19</v>
      </c>
      <c r="E551" s="2" t="s">
        <v>37</v>
      </c>
      <c r="F551" s="2">
        <v>3</v>
      </c>
      <c r="G551" s="2">
        <v>48</v>
      </c>
      <c r="H551" s="2">
        <v>100</v>
      </c>
      <c r="I551" s="2">
        <v>47</v>
      </c>
      <c r="J551" s="2">
        <v>61.27</v>
      </c>
      <c r="K551" s="2" t="s">
        <v>22</v>
      </c>
      <c r="L551" s="1">
        <f t="shared" si="25"/>
        <v>65</v>
      </c>
      <c r="M551" s="2" t="str">
        <f t="shared" si="26"/>
        <v>Pass</v>
      </c>
      <c r="N551" s="2" t="str">
        <f t="shared" si="24"/>
        <v>Stable</v>
      </c>
    </row>
    <row r="552" spans="1:14" x14ac:dyDescent="0.3">
      <c r="A552" s="2" t="s">
        <v>764</v>
      </c>
      <c r="B552" s="2" t="s">
        <v>242</v>
      </c>
      <c r="C552" s="2" t="s">
        <v>16</v>
      </c>
      <c r="D552" s="2">
        <v>19</v>
      </c>
      <c r="E552" s="2" t="s">
        <v>17</v>
      </c>
      <c r="F552" s="2">
        <v>2</v>
      </c>
      <c r="G552" s="2">
        <v>96</v>
      </c>
      <c r="H552" s="2">
        <v>44</v>
      </c>
      <c r="I552" s="2">
        <v>44</v>
      </c>
      <c r="J552" s="2">
        <v>61.38</v>
      </c>
      <c r="K552" s="2" t="s">
        <v>22</v>
      </c>
      <c r="L552" s="1">
        <f t="shared" si="25"/>
        <v>61.333333333333336</v>
      </c>
      <c r="M552" s="2" t="str">
        <f t="shared" si="26"/>
        <v>Pass</v>
      </c>
      <c r="N552" s="2" t="str">
        <f t="shared" si="24"/>
        <v>Stable</v>
      </c>
    </row>
    <row r="553" spans="1:14" x14ac:dyDescent="0.3">
      <c r="A553" s="2" t="s">
        <v>765</v>
      </c>
      <c r="B553" s="2" t="s">
        <v>706</v>
      </c>
      <c r="C553" s="2" t="s">
        <v>16</v>
      </c>
      <c r="D553" s="2">
        <v>20</v>
      </c>
      <c r="E553" s="2" t="s">
        <v>17</v>
      </c>
      <c r="F553" s="2">
        <v>1</v>
      </c>
      <c r="G553" s="2">
        <v>35</v>
      </c>
      <c r="H553" s="2">
        <v>86</v>
      </c>
      <c r="I553" s="2">
        <v>54</v>
      </c>
      <c r="J553" s="2">
        <v>76.22</v>
      </c>
      <c r="K553" s="2" t="s">
        <v>31</v>
      </c>
      <c r="L553" s="1">
        <f t="shared" si="25"/>
        <v>58.333333333333336</v>
      </c>
      <c r="M553" s="2" t="str">
        <f t="shared" si="26"/>
        <v>Fail</v>
      </c>
      <c r="N553" s="2" t="str">
        <f t="shared" si="24"/>
        <v>High Risk</v>
      </c>
    </row>
    <row r="554" spans="1:14" x14ac:dyDescent="0.3">
      <c r="A554" s="2" t="s">
        <v>766</v>
      </c>
      <c r="B554" s="2" t="s">
        <v>145</v>
      </c>
      <c r="C554" s="2" t="s">
        <v>16</v>
      </c>
      <c r="D554" s="2">
        <v>18</v>
      </c>
      <c r="E554" s="2" t="s">
        <v>37</v>
      </c>
      <c r="F554" s="2">
        <v>2</v>
      </c>
      <c r="G554" s="2">
        <v>78</v>
      </c>
      <c r="H554" s="2">
        <v>64</v>
      </c>
      <c r="I554" s="2">
        <v>86</v>
      </c>
      <c r="J554" s="2">
        <v>84.17</v>
      </c>
      <c r="K554" s="2" t="s">
        <v>28</v>
      </c>
      <c r="L554" s="1">
        <f t="shared" si="25"/>
        <v>76</v>
      </c>
      <c r="M554" s="2" t="str">
        <f t="shared" si="26"/>
        <v>Pass</v>
      </c>
      <c r="N554" s="2" t="str">
        <f t="shared" si="24"/>
        <v>Stable</v>
      </c>
    </row>
    <row r="555" spans="1:14" x14ac:dyDescent="0.3">
      <c r="A555" s="2" t="s">
        <v>767</v>
      </c>
      <c r="B555" s="2" t="s">
        <v>100</v>
      </c>
      <c r="C555" s="2" t="s">
        <v>16</v>
      </c>
      <c r="D555" s="2">
        <v>23</v>
      </c>
      <c r="E555" s="2" t="s">
        <v>50</v>
      </c>
      <c r="F555" s="2">
        <v>5</v>
      </c>
      <c r="G555" s="2">
        <v>75</v>
      </c>
      <c r="H555" s="2">
        <v>63</v>
      </c>
      <c r="I555" s="2">
        <v>53</v>
      </c>
      <c r="J555" s="2">
        <v>71.69</v>
      </c>
      <c r="K555" s="2" t="s">
        <v>22</v>
      </c>
      <c r="L555" s="1">
        <f t="shared" si="25"/>
        <v>63.666666666666664</v>
      </c>
      <c r="M555" s="2" t="str">
        <f t="shared" si="26"/>
        <v>Pass</v>
      </c>
      <c r="N555" s="2" t="str">
        <f t="shared" si="24"/>
        <v>Stable</v>
      </c>
    </row>
    <row r="556" spans="1:14" x14ac:dyDescent="0.3">
      <c r="A556" s="2" t="s">
        <v>768</v>
      </c>
      <c r="B556" s="2" t="s">
        <v>161</v>
      </c>
      <c r="C556" s="2" t="s">
        <v>21</v>
      </c>
      <c r="D556" s="2">
        <v>21</v>
      </c>
      <c r="E556" s="2" t="s">
        <v>27</v>
      </c>
      <c r="F556" s="2">
        <v>1</v>
      </c>
      <c r="G556" s="2">
        <v>93</v>
      </c>
      <c r="H556" s="2">
        <v>49</v>
      </c>
      <c r="I556" s="2">
        <v>48</v>
      </c>
      <c r="J556" s="2">
        <v>61.32</v>
      </c>
      <c r="K556" s="2" t="s">
        <v>22</v>
      </c>
      <c r="L556" s="1">
        <f t="shared" si="25"/>
        <v>63.333333333333336</v>
      </c>
      <c r="M556" s="2" t="str">
        <f t="shared" si="26"/>
        <v>Pass</v>
      </c>
      <c r="N556" s="2" t="str">
        <f t="shared" si="24"/>
        <v>Stable</v>
      </c>
    </row>
    <row r="557" spans="1:14" x14ac:dyDescent="0.3">
      <c r="A557" s="2" t="s">
        <v>769</v>
      </c>
      <c r="B557" s="2" t="s">
        <v>49</v>
      </c>
      <c r="C557" s="2" t="s">
        <v>16</v>
      </c>
      <c r="D557" s="2">
        <v>23</v>
      </c>
      <c r="E557" s="2" t="s">
        <v>37</v>
      </c>
      <c r="F557" s="2">
        <v>2</v>
      </c>
      <c r="G557" s="2">
        <v>79</v>
      </c>
      <c r="H557" s="2">
        <v>84</v>
      </c>
      <c r="I557" s="2">
        <v>71</v>
      </c>
      <c r="J557" s="2">
        <v>91.56</v>
      </c>
      <c r="K557" s="2" t="s">
        <v>28</v>
      </c>
      <c r="L557" s="1">
        <f t="shared" si="25"/>
        <v>78</v>
      </c>
      <c r="M557" s="2" t="str">
        <f t="shared" si="26"/>
        <v>Pass</v>
      </c>
      <c r="N557" s="2" t="str">
        <f t="shared" si="24"/>
        <v>Stable</v>
      </c>
    </row>
    <row r="558" spans="1:14" x14ac:dyDescent="0.3">
      <c r="A558" s="2" t="s">
        <v>770</v>
      </c>
      <c r="B558" s="2" t="s">
        <v>570</v>
      </c>
      <c r="C558" s="2" t="s">
        <v>21</v>
      </c>
      <c r="D558" s="2">
        <v>20</v>
      </c>
      <c r="E558" s="2" t="s">
        <v>37</v>
      </c>
      <c r="F558" s="2">
        <v>6</v>
      </c>
      <c r="G558" s="2">
        <v>75</v>
      </c>
      <c r="H558" s="2">
        <v>50</v>
      </c>
      <c r="I558" s="2">
        <v>74</v>
      </c>
      <c r="J558" s="2">
        <v>72.77</v>
      </c>
      <c r="K558" s="2" t="s">
        <v>22</v>
      </c>
      <c r="L558" s="1">
        <f t="shared" si="25"/>
        <v>66.333333333333329</v>
      </c>
      <c r="M558" s="2" t="str">
        <f t="shared" si="26"/>
        <v>Pass</v>
      </c>
      <c r="N558" s="2" t="str">
        <f t="shared" si="24"/>
        <v>Stable</v>
      </c>
    </row>
    <row r="559" spans="1:14" x14ac:dyDescent="0.3">
      <c r="A559" s="2" t="s">
        <v>771</v>
      </c>
      <c r="B559" s="2" t="s">
        <v>364</v>
      </c>
      <c r="C559" s="2" t="s">
        <v>21</v>
      </c>
      <c r="D559" s="2">
        <v>19</v>
      </c>
      <c r="E559" s="2" t="s">
        <v>34</v>
      </c>
      <c r="F559" s="2">
        <v>1</v>
      </c>
      <c r="G559" s="2">
        <v>76</v>
      </c>
      <c r="H559" s="2">
        <v>98</v>
      </c>
      <c r="I559" s="2">
        <v>53</v>
      </c>
      <c r="J559" s="2">
        <v>82.09</v>
      </c>
      <c r="K559" s="2" t="s">
        <v>28</v>
      </c>
      <c r="L559" s="1">
        <f t="shared" si="25"/>
        <v>75.666666666666671</v>
      </c>
      <c r="M559" s="2" t="str">
        <f t="shared" si="26"/>
        <v>Pass</v>
      </c>
      <c r="N559" s="2" t="str">
        <f t="shared" si="24"/>
        <v>Stable</v>
      </c>
    </row>
    <row r="560" spans="1:14" x14ac:dyDescent="0.3">
      <c r="A560" s="2" t="s">
        <v>772</v>
      </c>
      <c r="B560" s="2" t="s">
        <v>418</v>
      </c>
      <c r="C560" s="2" t="s">
        <v>21</v>
      </c>
      <c r="D560" s="2">
        <v>19</v>
      </c>
      <c r="E560" s="2" t="s">
        <v>34</v>
      </c>
      <c r="F560" s="2">
        <v>3</v>
      </c>
      <c r="G560" s="2">
        <v>100</v>
      </c>
      <c r="H560" s="2">
        <v>61</v>
      </c>
      <c r="I560" s="2">
        <v>54</v>
      </c>
      <c r="J560" s="2">
        <v>75.09</v>
      </c>
      <c r="K560" s="2" t="s">
        <v>28</v>
      </c>
      <c r="L560" s="1">
        <f t="shared" si="25"/>
        <v>71.666666666666671</v>
      </c>
      <c r="M560" s="2" t="str">
        <f t="shared" si="26"/>
        <v>Pass</v>
      </c>
      <c r="N560" s="2" t="str">
        <f t="shared" si="24"/>
        <v>Stable</v>
      </c>
    </row>
    <row r="561" spans="1:14" x14ac:dyDescent="0.3">
      <c r="A561" s="2" t="s">
        <v>773</v>
      </c>
      <c r="B561" s="2" t="s">
        <v>72</v>
      </c>
      <c r="C561" s="2" t="s">
        <v>16</v>
      </c>
      <c r="D561" s="2">
        <v>21</v>
      </c>
      <c r="E561" s="2" t="s">
        <v>27</v>
      </c>
      <c r="F561" s="2">
        <v>5</v>
      </c>
      <c r="G561" s="2">
        <v>38</v>
      </c>
      <c r="H561" s="2">
        <v>98</v>
      </c>
      <c r="I561" s="2">
        <v>52</v>
      </c>
      <c r="J561" s="2">
        <v>78.099999999999994</v>
      </c>
      <c r="K561" s="2" t="s">
        <v>22</v>
      </c>
      <c r="L561" s="1">
        <f t="shared" si="25"/>
        <v>62.666666666666664</v>
      </c>
      <c r="M561" s="2" t="str">
        <f t="shared" si="26"/>
        <v>Fail</v>
      </c>
      <c r="N561" s="2" t="str">
        <f t="shared" si="24"/>
        <v>High Risk</v>
      </c>
    </row>
    <row r="562" spans="1:14" x14ac:dyDescent="0.3">
      <c r="A562" s="2" t="s">
        <v>774</v>
      </c>
      <c r="B562" s="2" t="s">
        <v>84</v>
      </c>
      <c r="C562" s="2" t="s">
        <v>21</v>
      </c>
      <c r="D562" s="2">
        <v>23</v>
      </c>
      <c r="E562" s="2" t="s">
        <v>50</v>
      </c>
      <c r="F562" s="2">
        <v>5</v>
      </c>
      <c r="G562" s="2">
        <v>70</v>
      </c>
      <c r="H562" s="2">
        <v>43</v>
      </c>
      <c r="I562" s="2">
        <v>81</v>
      </c>
      <c r="J562" s="2">
        <v>70</v>
      </c>
      <c r="K562" s="2" t="s">
        <v>22</v>
      </c>
      <c r="L562" s="1">
        <f t="shared" si="25"/>
        <v>64.666666666666671</v>
      </c>
      <c r="M562" s="2" t="str">
        <f t="shared" si="26"/>
        <v>Pass</v>
      </c>
      <c r="N562" s="2" t="str">
        <f t="shared" si="24"/>
        <v>Stable</v>
      </c>
    </row>
    <row r="563" spans="1:14" x14ac:dyDescent="0.3">
      <c r="A563" s="2" t="s">
        <v>775</v>
      </c>
      <c r="B563" s="2" t="s">
        <v>350</v>
      </c>
      <c r="C563" s="2" t="s">
        <v>21</v>
      </c>
      <c r="D563" s="2">
        <v>23</v>
      </c>
      <c r="E563" s="2" t="s">
        <v>27</v>
      </c>
      <c r="F563" s="2">
        <v>6</v>
      </c>
      <c r="G563" s="2">
        <v>96</v>
      </c>
      <c r="H563" s="2">
        <v>84</v>
      </c>
      <c r="I563" s="2">
        <v>76</v>
      </c>
      <c r="J563" s="2">
        <v>85.01</v>
      </c>
      <c r="K563" s="2" t="s">
        <v>18</v>
      </c>
      <c r="L563" s="1">
        <f t="shared" si="25"/>
        <v>85.333333333333329</v>
      </c>
      <c r="M563" s="2" t="str">
        <f t="shared" si="26"/>
        <v>Pass</v>
      </c>
      <c r="N563" s="2" t="str">
        <f t="shared" si="24"/>
        <v>Stable</v>
      </c>
    </row>
    <row r="564" spans="1:14" x14ac:dyDescent="0.3">
      <c r="A564" s="2" t="s">
        <v>776</v>
      </c>
      <c r="B564" s="2" t="s">
        <v>777</v>
      </c>
      <c r="C564" s="2" t="s">
        <v>21</v>
      </c>
      <c r="D564" s="2">
        <v>21</v>
      </c>
      <c r="E564" s="2" t="s">
        <v>27</v>
      </c>
      <c r="F564" s="2">
        <v>1</v>
      </c>
      <c r="G564" s="2">
        <v>41</v>
      </c>
      <c r="H564" s="2">
        <v>83</v>
      </c>
      <c r="I564" s="2">
        <v>72</v>
      </c>
      <c r="J564" s="2">
        <v>88.65</v>
      </c>
      <c r="K564" s="2" t="s">
        <v>22</v>
      </c>
      <c r="L564" s="1">
        <f t="shared" si="25"/>
        <v>65.333333333333329</v>
      </c>
      <c r="M564" s="2" t="str">
        <f t="shared" si="26"/>
        <v>Pass</v>
      </c>
      <c r="N564" s="2" t="str">
        <f t="shared" si="24"/>
        <v>Stable</v>
      </c>
    </row>
    <row r="565" spans="1:14" x14ac:dyDescent="0.3">
      <c r="A565" s="2" t="s">
        <v>778</v>
      </c>
      <c r="B565" s="2" t="s">
        <v>281</v>
      </c>
      <c r="C565" s="2" t="s">
        <v>21</v>
      </c>
      <c r="D565" s="2">
        <v>21</v>
      </c>
      <c r="E565" s="2" t="s">
        <v>37</v>
      </c>
      <c r="F565" s="2">
        <v>6</v>
      </c>
      <c r="G565" s="2">
        <v>40</v>
      </c>
      <c r="H565" s="2">
        <v>63</v>
      </c>
      <c r="I565" s="2">
        <v>77</v>
      </c>
      <c r="J565" s="2">
        <v>70.489999999999995</v>
      </c>
      <c r="K565" s="2" t="s">
        <v>22</v>
      </c>
      <c r="L565" s="1">
        <f t="shared" si="25"/>
        <v>60</v>
      </c>
      <c r="M565" s="2" t="str">
        <f t="shared" si="26"/>
        <v>Pass</v>
      </c>
      <c r="N565" s="2" t="str">
        <f t="shared" si="24"/>
        <v>Stable</v>
      </c>
    </row>
    <row r="566" spans="1:14" x14ac:dyDescent="0.3">
      <c r="A566" s="2" t="s">
        <v>779</v>
      </c>
      <c r="B566" s="2" t="s">
        <v>100</v>
      </c>
      <c r="C566" s="2" t="s">
        <v>16</v>
      </c>
      <c r="D566" s="2">
        <v>22</v>
      </c>
      <c r="E566" s="2" t="s">
        <v>37</v>
      </c>
      <c r="F566" s="2">
        <v>6</v>
      </c>
      <c r="G566" s="2">
        <v>83</v>
      </c>
      <c r="H566" s="2">
        <v>58</v>
      </c>
      <c r="I566" s="2">
        <v>61</v>
      </c>
      <c r="J566" s="2">
        <v>86.59</v>
      </c>
      <c r="K566" s="2" t="s">
        <v>22</v>
      </c>
      <c r="L566" s="1">
        <f t="shared" si="25"/>
        <v>67.333333333333329</v>
      </c>
      <c r="M566" s="2" t="str">
        <f t="shared" si="26"/>
        <v>Pass</v>
      </c>
      <c r="N566" s="2" t="str">
        <f t="shared" si="24"/>
        <v>Stable</v>
      </c>
    </row>
    <row r="567" spans="1:14" x14ac:dyDescent="0.3">
      <c r="A567" s="2" t="s">
        <v>780</v>
      </c>
      <c r="B567" s="2" t="s">
        <v>629</v>
      </c>
      <c r="C567" s="2" t="s">
        <v>21</v>
      </c>
      <c r="D567" s="2">
        <v>18</v>
      </c>
      <c r="E567" s="2" t="s">
        <v>37</v>
      </c>
      <c r="F567" s="2">
        <v>3</v>
      </c>
      <c r="G567" s="2">
        <v>66</v>
      </c>
      <c r="H567" s="2">
        <v>73</v>
      </c>
      <c r="I567" s="2">
        <v>39</v>
      </c>
      <c r="J567" s="2">
        <v>74.739999999999995</v>
      </c>
      <c r="K567" s="2" t="s">
        <v>31</v>
      </c>
      <c r="L567" s="1">
        <f t="shared" si="25"/>
        <v>59.333333333333336</v>
      </c>
      <c r="M567" s="2" t="str">
        <f t="shared" si="26"/>
        <v>Fail</v>
      </c>
      <c r="N567" s="2" t="str">
        <f t="shared" si="24"/>
        <v>High Risk</v>
      </c>
    </row>
    <row r="568" spans="1:14" x14ac:dyDescent="0.3">
      <c r="A568" s="2" t="s">
        <v>781</v>
      </c>
      <c r="B568" s="2" t="s">
        <v>26</v>
      </c>
      <c r="C568" s="2" t="s">
        <v>21</v>
      </c>
      <c r="D568" s="2">
        <v>19</v>
      </c>
      <c r="E568" s="2" t="s">
        <v>17</v>
      </c>
      <c r="F568" s="2">
        <v>3</v>
      </c>
      <c r="G568" s="2">
        <v>85</v>
      </c>
      <c r="H568" s="2">
        <v>63</v>
      </c>
      <c r="I568" s="2">
        <v>82</v>
      </c>
      <c r="J568" s="2">
        <v>70.510000000000005</v>
      </c>
      <c r="K568" s="2" t="s">
        <v>28</v>
      </c>
      <c r="L568" s="1">
        <f t="shared" si="25"/>
        <v>76.666666666666671</v>
      </c>
      <c r="M568" s="2" t="str">
        <f t="shared" si="26"/>
        <v>Pass</v>
      </c>
      <c r="N568" s="2" t="str">
        <f t="shared" si="24"/>
        <v>Stable</v>
      </c>
    </row>
    <row r="569" spans="1:14" x14ac:dyDescent="0.3">
      <c r="A569" s="2" t="s">
        <v>782</v>
      </c>
      <c r="B569" s="2" t="s">
        <v>308</v>
      </c>
      <c r="C569" s="2" t="s">
        <v>21</v>
      </c>
      <c r="D569" s="2">
        <v>23</v>
      </c>
      <c r="E569" s="2" t="s">
        <v>34</v>
      </c>
      <c r="F569" s="2">
        <v>2</v>
      </c>
      <c r="G569" s="2">
        <v>60</v>
      </c>
      <c r="H569" s="2">
        <v>54</v>
      </c>
      <c r="I569" s="2">
        <v>74</v>
      </c>
      <c r="J569" s="2">
        <v>94.62</v>
      </c>
      <c r="K569" s="2" t="s">
        <v>22</v>
      </c>
      <c r="L569" s="1">
        <f t="shared" si="25"/>
        <v>62.666666666666664</v>
      </c>
      <c r="M569" s="2" t="str">
        <f t="shared" si="26"/>
        <v>Pass</v>
      </c>
      <c r="N569" s="2" t="str">
        <f t="shared" si="24"/>
        <v>Stable</v>
      </c>
    </row>
    <row r="570" spans="1:14" x14ac:dyDescent="0.3">
      <c r="A570" s="2" t="s">
        <v>783</v>
      </c>
      <c r="B570" s="2" t="s">
        <v>643</v>
      </c>
      <c r="C570" s="2" t="s">
        <v>16</v>
      </c>
      <c r="D570" s="2">
        <v>23</v>
      </c>
      <c r="E570" s="2" t="s">
        <v>50</v>
      </c>
      <c r="F570" s="2">
        <v>1</v>
      </c>
      <c r="G570" s="2">
        <v>54</v>
      </c>
      <c r="H570" s="2">
        <v>52</v>
      </c>
      <c r="I570" s="2">
        <v>76</v>
      </c>
      <c r="J570" s="2">
        <v>89.28</v>
      </c>
      <c r="K570" s="2" t="s">
        <v>22</v>
      </c>
      <c r="L570" s="1">
        <f t="shared" si="25"/>
        <v>60.666666666666664</v>
      </c>
      <c r="M570" s="2" t="str">
        <f t="shared" si="26"/>
        <v>Pass</v>
      </c>
      <c r="N570" s="2" t="str">
        <f t="shared" si="24"/>
        <v>Stable</v>
      </c>
    </row>
    <row r="571" spans="1:14" x14ac:dyDescent="0.3">
      <c r="A571" s="2" t="s">
        <v>784</v>
      </c>
      <c r="B571" s="2" t="s">
        <v>411</v>
      </c>
      <c r="C571" s="2" t="s">
        <v>21</v>
      </c>
      <c r="D571" s="2">
        <v>19</v>
      </c>
      <c r="E571" s="2" t="s">
        <v>34</v>
      </c>
      <c r="F571" s="2">
        <v>1</v>
      </c>
      <c r="G571" s="2">
        <v>58</v>
      </c>
      <c r="H571" s="2">
        <v>69</v>
      </c>
      <c r="I571" s="2">
        <v>95</v>
      </c>
      <c r="J571" s="2">
        <v>85.37</v>
      </c>
      <c r="K571" s="2" t="s">
        <v>28</v>
      </c>
      <c r="L571" s="1">
        <f t="shared" si="25"/>
        <v>74</v>
      </c>
      <c r="M571" s="2" t="str">
        <f t="shared" si="26"/>
        <v>Pass</v>
      </c>
      <c r="N571" s="2" t="str">
        <f t="shared" si="24"/>
        <v>Stable</v>
      </c>
    </row>
    <row r="572" spans="1:14" x14ac:dyDescent="0.3">
      <c r="A572" s="2" t="s">
        <v>785</v>
      </c>
      <c r="B572" s="2" t="s">
        <v>411</v>
      </c>
      <c r="C572" s="2" t="s">
        <v>21</v>
      </c>
      <c r="D572" s="2">
        <v>21</v>
      </c>
      <c r="E572" s="2" t="s">
        <v>17</v>
      </c>
      <c r="F572" s="2">
        <v>5</v>
      </c>
      <c r="G572" s="2">
        <v>99</v>
      </c>
      <c r="H572" s="2">
        <v>49</v>
      </c>
      <c r="I572" s="2">
        <v>77</v>
      </c>
      <c r="J572" s="2">
        <v>74.34</v>
      </c>
      <c r="K572" s="2" t="s">
        <v>28</v>
      </c>
      <c r="L572" s="1">
        <f t="shared" si="25"/>
        <v>75</v>
      </c>
      <c r="M572" s="2" t="str">
        <f t="shared" si="26"/>
        <v>Pass</v>
      </c>
      <c r="N572" s="2" t="str">
        <f t="shared" si="24"/>
        <v>Stable</v>
      </c>
    </row>
    <row r="573" spans="1:14" x14ac:dyDescent="0.3">
      <c r="A573" s="2" t="s">
        <v>786</v>
      </c>
      <c r="B573" s="2" t="s">
        <v>420</v>
      </c>
      <c r="C573" s="2" t="s">
        <v>21</v>
      </c>
      <c r="D573" s="2">
        <v>21</v>
      </c>
      <c r="E573" s="2" t="s">
        <v>37</v>
      </c>
      <c r="F573" s="2">
        <v>1</v>
      </c>
      <c r="G573" s="2">
        <v>40</v>
      </c>
      <c r="H573" s="2">
        <v>99</v>
      </c>
      <c r="I573" s="2">
        <v>51</v>
      </c>
      <c r="J573" s="2">
        <v>82.16</v>
      </c>
      <c r="K573" s="2" t="s">
        <v>22</v>
      </c>
      <c r="L573" s="1">
        <f t="shared" si="25"/>
        <v>63.333333333333336</v>
      </c>
      <c r="M573" s="2" t="str">
        <f t="shared" si="26"/>
        <v>Pass</v>
      </c>
      <c r="N573" s="2" t="str">
        <f t="shared" si="24"/>
        <v>Stable</v>
      </c>
    </row>
    <row r="574" spans="1:14" x14ac:dyDescent="0.3">
      <c r="A574" s="2" t="s">
        <v>787</v>
      </c>
      <c r="B574" s="2" t="s">
        <v>418</v>
      </c>
      <c r="C574" s="2" t="s">
        <v>21</v>
      </c>
      <c r="D574" s="2">
        <v>18</v>
      </c>
      <c r="E574" s="2" t="s">
        <v>27</v>
      </c>
      <c r="F574" s="2">
        <v>3</v>
      </c>
      <c r="G574" s="2">
        <v>44</v>
      </c>
      <c r="H574" s="2">
        <v>93</v>
      </c>
      <c r="I574" s="2">
        <v>35</v>
      </c>
      <c r="J574" s="2">
        <v>73.03</v>
      </c>
      <c r="K574" s="2" t="s">
        <v>31</v>
      </c>
      <c r="L574" s="1">
        <f t="shared" si="25"/>
        <v>57.333333333333336</v>
      </c>
      <c r="M574" s="2" t="str">
        <f t="shared" si="26"/>
        <v>Fail</v>
      </c>
      <c r="N574" s="2" t="str">
        <f t="shared" si="24"/>
        <v>High Risk</v>
      </c>
    </row>
    <row r="575" spans="1:14" x14ac:dyDescent="0.3">
      <c r="A575" s="2" t="s">
        <v>788</v>
      </c>
      <c r="B575" s="2" t="s">
        <v>57</v>
      </c>
      <c r="C575" s="2" t="s">
        <v>21</v>
      </c>
      <c r="D575" s="2">
        <v>22</v>
      </c>
      <c r="E575" s="2" t="s">
        <v>17</v>
      </c>
      <c r="F575" s="2">
        <v>4</v>
      </c>
      <c r="G575" s="2">
        <v>83</v>
      </c>
      <c r="H575" s="2">
        <v>67</v>
      </c>
      <c r="I575" s="2">
        <v>67</v>
      </c>
      <c r="J575" s="2">
        <v>96.68</v>
      </c>
      <c r="K575" s="2" t="s">
        <v>28</v>
      </c>
      <c r="L575" s="1">
        <f t="shared" si="25"/>
        <v>72.333333333333329</v>
      </c>
      <c r="M575" s="2" t="str">
        <f t="shared" si="26"/>
        <v>Pass</v>
      </c>
      <c r="N575" s="2" t="str">
        <f t="shared" si="24"/>
        <v>Stable</v>
      </c>
    </row>
    <row r="576" spans="1:14" x14ac:dyDescent="0.3">
      <c r="A576" s="2" t="s">
        <v>789</v>
      </c>
      <c r="B576" s="2" t="s">
        <v>43</v>
      </c>
      <c r="C576" s="2" t="s">
        <v>21</v>
      </c>
      <c r="D576" s="2">
        <v>21</v>
      </c>
      <c r="E576" s="2" t="s">
        <v>37</v>
      </c>
      <c r="F576" s="2">
        <v>2</v>
      </c>
      <c r="G576" s="2">
        <v>43</v>
      </c>
      <c r="H576" s="2">
        <v>35</v>
      </c>
      <c r="I576" s="2">
        <v>80</v>
      </c>
      <c r="J576" s="2">
        <v>80.06</v>
      </c>
      <c r="K576" s="2" t="s">
        <v>31</v>
      </c>
      <c r="L576" s="1">
        <f t="shared" si="25"/>
        <v>52.666666666666664</v>
      </c>
      <c r="M576" s="2" t="str">
        <f t="shared" si="26"/>
        <v>Fail</v>
      </c>
      <c r="N576" s="2" t="str">
        <f t="shared" si="24"/>
        <v>High Risk</v>
      </c>
    </row>
    <row r="577" spans="1:14" x14ac:dyDescent="0.3">
      <c r="A577" s="2" t="s">
        <v>790</v>
      </c>
      <c r="B577" s="2" t="s">
        <v>258</v>
      </c>
      <c r="C577" s="2" t="s">
        <v>21</v>
      </c>
      <c r="D577" s="2">
        <v>21</v>
      </c>
      <c r="E577" s="2" t="s">
        <v>27</v>
      </c>
      <c r="F577" s="2">
        <v>2</v>
      </c>
      <c r="G577" s="2">
        <v>78</v>
      </c>
      <c r="H577" s="2">
        <v>92</v>
      </c>
      <c r="I577" s="2">
        <v>61</v>
      </c>
      <c r="J577" s="2">
        <v>91.5</v>
      </c>
      <c r="K577" s="2" t="s">
        <v>28</v>
      </c>
      <c r="L577" s="1">
        <f t="shared" si="25"/>
        <v>77</v>
      </c>
      <c r="M577" s="2" t="str">
        <f t="shared" si="26"/>
        <v>Pass</v>
      </c>
      <c r="N577" s="2" t="str">
        <f t="shared" si="24"/>
        <v>Stable</v>
      </c>
    </row>
    <row r="578" spans="1:14" x14ac:dyDescent="0.3">
      <c r="A578" s="2" t="s">
        <v>791</v>
      </c>
      <c r="B578" s="2" t="s">
        <v>123</v>
      </c>
      <c r="C578" s="2" t="s">
        <v>21</v>
      </c>
      <c r="D578" s="2">
        <v>23</v>
      </c>
      <c r="E578" s="2" t="s">
        <v>17</v>
      </c>
      <c r="F578" s="2">
        <v>4</v>
      </c>
      <c r="G578" s="2">
        <v>39</v>
      </c>
      <c r="H578" s="2">
        <v>86</v>
      </c>
      <c r="I578" s="2">
        <v>40</v>
      </c>
      <c r="J578" s="2">
        <v>94.74</v>
      </c>
      <c r="K578" s="2" t="s">
        <v>31</v>
      </c>
      <c r="L578" s="1">
        <f t="shared" si="25"/>
        <v>55</v>
      </c>
      <c r="M578" s="2" t="str">
        <f t="shared" si="26"/>
        <v>Fail</v>
      </c>
      <c r="N578" s="2" t="str">
        <f t="shared" ref="N578:N601" si="27">_xlfn.IFS(M578="Fail", "High Risk", L578&lt;60, "Monitor", TRUE, "Stable")</f>
        <v>High Risk</v>
      </c>
    </row>
    <row r="579" spans="1:14" x14ac:dyDescent="0.3">
      <c r="A579" s="2" t="s">
        <v>792</v>
      </c>
      <c r="B579" s="2" t="s">
        <v>159</v>
      </c>
      <c r="C579" s="2" t="s">
        <v>16</v>
      </c>
      <c r="D579" s="2">
        <v>21</v>
      </c>
      <c r="E579" s="2" t="s">
        <v>27</v>
      </c>
      <c r="F579" s="2">
        <v>6</v>
      </c>
      <c r="G579" s="2">
        <v>90</v>
      </c>
      <c r="H579" s="2">
        <v>74</v>
      </c>
      <c r="I579" s="2">
        <v>57</v>
      </c>
      <c r="J579" s="2">
        <v>61.36</v>
      </c>
      <c r="K579" s="2" t="s">
        <v>28</v>
      </c>
      <c r="L579" s="1">
        <f t="shared" si="25"/>
        <v>73.666666666666671</v>
      </c>
      <c r="M579" s="2" t="str">
        <f t="shared" si="26"/>
        <v>Pass</v>
      </c>
      <c r="N579" s="2" t="str">
        <f t="shared" si="27"/>
        <v>Stable</v>
      </c>
    </row>
    <row r="580" spans="1:14" x14ac:dyDescent="0.3">
      <c r="A580" s="2" t="s">
        <v>793</v>
      </c>
      <c r="B580" s="2" t="s">
        <v>145</v>
      </c>
      <c r="C580" s="2" t="s">
        <v>16</v>
      </c>
      <c r="D580" s="2">
        <v>20</v>
      </c>
      <c r="E580" s="2" t="s">
        <v>50</v>
      </c>
      <c r="F580" s="2">
        <v>1</v>
      </c>
      <c r="G580" s="2">
        <v>66</v>
      </c>
      <c r="H580" s="2">
        <v>56</v>
      </c>
      <c r="I580" s="2">
        <v>57</v>
      </c>
      <c r="J580" s="2">
        <v>95.12</v>
      </c>
      <c r="K580" s="2" t="s">
        <v>31</v>
      </c>
      <c r="L580" s="1">
        <f t="shared" ref="L580:L601" si="28">AVERAGE(G580:I580)</f>
        <v>59.666666666666664</v>
      </c>
      <c r="M580" s="2" t="str">
        <f t="shared" ref="M580:M601" si="29">IF(OR(G580&lt;40, H580&lt;40, I580&lt;40), "Fail", "Pass")</f>
        <v>Pass</v>
      </c>
      <c r="N580" s="2" t="str">
        <f t="shared" si="27"/>
        <v>Monitor</v>
      </c>
    </row>
    <row r="581" spans="1:14" x14ac:dyDescent="0.3">
      <c r="A581" s="2" t="s">
        <v>794</v>
      </c>
      <c r="B581" s="2" t="s">
        <v>232</v>
      </c>
      <c r="C581" s="2" t="s">
        <v>21</v>
      </c>
      <c r="D581" s="2">
        <v>20</v>
      </c>
      <c r="E581" s="2" t="s">
        <v>37</v>
      </c>
      <c r="F581" s="2">
        <v>1</v>
      </c>
      <c r="G581" s="2">
        <v>70</v>
      </c>
      <c r="H581" s="2">
        <v>85</v>
      </c>
      <c r="I581" s="2">
        <v>85</v>
      </c>
      <c r="J581" s="2">
        <v>80.33</v>
      </c>
      <c r="K581" s="2" t="s">
        <v>18</v>
      </c>
      <c r="L581" s="1">
        <f t="shared" si="28"/>
        <v>80</v>
      </c>
      <c r="M581" s="2" t="str">
        <f t="shared" si="29"/>
        <v>Pass</v>
      </c>
      <c r="N581" s="2" t="str">
        <f t="shared" si="27"/>
        <v>Stable</v>
      </c>
    </row>
    <row r="582" spans="1:14" x14ac:dyDescent="0.3">
      <c r="A582" s="2" t="s">
        <v>795</v>
      </c>
      <c r="B582" s="2" t="s">
        <v>172</v>
      </c>
      <c r="C582" s="2" t="s">
        <v>16</v>
      </c>
      <c r="D582" s="2">
        <v>20</v>
      </c>
      <c r="E582" s="2" t="s">
        <v>27</v>
      </c>
      <c r="F582" s="2">
        <v>4</v>
      </c>
      <c r="G582" s="2">
        <v>100</v>
      </c>
      <c r="H582" s="2">
        <v>97</v>
      </c>
      <c r="I582" s="2">
        <v>48</v>
      </c>
      <c r="J582" s="2">
        <v>72.72</v>
      </c>
      <c r="K582" s="2" t="s">
        <v>18</v>
      </c>
      <c r="L582" s="1">
        <f t="shared" si="28"/>
        <v>81.666666666666671</v>
      </c>
      <c r="M582" s="2" t="str">
        <f t="shared" si="29"/>
        <v>Pass</v>
      </c>
      <c r="N582" s="2" t="str">
        <f t="shared" si="27"/>
        <v>Stable</v>
      </c>
    </row>
    <row r="583" spans="1:14" x14ac:dyDescent="0.3">
      <c r="A583" s="2" t="s">
        <v>796</v>
      </c>
      <c r="B583" s="2" t="s">
        <v>206</v>
      </c>
      <c r="C583" s="2" t="s">
        <v>16</v>
      </c>
      <c r="D583" s="2">
        <v>21</v>
      </c>
      <c r="E583" s="2" t="s">
        <v>50</v>
      </c>
      <c r="F583" s="2">
        <v>2</v>
      </c>
      <c r="G583" s="2">
        <v>96</v>
      </c>
      <c r="H583" s="2">
        <v>64</v>
      </c>
      <c r="I583" s="2">
        <v>53</v>
      </c>
      <c r="J583" s="2">
        <v>62.14</v>
      </c>
      <c r="K583" s="2" t="s">
        <v>28</v>
      </c>
      <c r="L583" s="1">
        <f t="shared" si="28"/>
        <v>71</v>
      </c>
      <c r="M583" s="2" t="str">
        <f t="shared" si="29"/>
        <v>Pass</v>
      </c>
      <c r="N583" s="2" t="str">
        <f t="shared" si="27"/>
        <v>Stable</v>
      </c>
    </row>
    <row r="584" spans="1:14" x14ac:dyDescent="0.3">
      <c r="A584" s="2" t="s">
        <v>797</v>
      </c>
      <c r="B584" s="2" t="s">
        <v>26</v>
      </c>
      <c r="C584" s="2" t="s">
        <v>16</v>
      </c>
      <c r="D584" s="2">
        <v>20</v>
      </c>
      <c r="E584" s="2" t="s">
        <v>34</v>
      </c>
      <c r="F584" s="2">
        <v>5</v>
      </c>
      <c r="G584" s="2">
        <v>42</v>
      </c>
      <c r="H584" s="2">
        <v>46</v>
      </c>
      <c r="I584" s="2">
        <v>75</v>
      </c>
      <c r="J584" s="2">
        <v>91.73</v>
      </c>
      <c r="K584" s="2" t="s">
        <v>31</v>
      </c>
      <c r="L584" s="1">
        <f t="shared" si="28"/>
        <v>54.333333333333336</v>
      </c>
      <c r="M584" s="2" t="str">
        <f t="shared" si="29"/>
        <v>Pass</v>
      </c>
      <c r="N584" s="2" t="str">
        <f t="shared" si="27"/>
        <v>Monitor</v>
      </c>
    </row>
    <row r="585" spans="1:14" x14ac:dyDescent="0.3">
      <c r="A585" s="2" t="s">
        <v>798</v>
      </c>
      <c r="B585" s="2" t="s">
        <v>560</v>
      </c>
      <c r="C585" s="2" t="s">
        <v>21</v>
      </c>
      <c r="D585" s="2">
        <v>19</v>
      </c>
      <c r="E585" s="2" t="s">
        <v>27</v>
      </c>
      <c r="F585" s="2">
        <v>1</v>
      </c>
      <c r="G585" s="2">
        <v>60</v>
      </c>
      <c r="H585" s="2">
        <v>91</v>
      </c>
      <c r="I585" s="2">
        <v>52</v>
      </c>
      <c r="J585" s="2">
        <v>87.09</v>
      </c>
      <c r="K585" s="2" t="s">
        <v>22</v>
      </c>
      <c r="L585" s="1">
        <f t="shared" si="28"/>
        <v>67.666666666666671</v>
      </c>
      <c r="M585" s="2" t="str">
        <f t="shared" si="29"/>
        <v>Pass</v>
      </c>
      <c r="N585" s="2" t="str">
        <f t="shared" si="27"/>
        <v>Stable</v>
      </c>
    </row>
    <row r="586" spans="1:14" x14ac:dyDescent="0.3">
      <c r="A586" s="2" t="s">
        <v>799</v>
      </c>
      <c r="B586" s="2" t="s">
        <v>157</v>
      </c>
      <c r="C586" s="2" t="s">
        <v>21</v>
      </c>
      <c r="D586" s="2">
        <v>22</v>
      </c>
      <c r="E586" s="2" t="s">
        <v>37</v>
      </c>
      <c r="F586" s="2">
        <v>1</v>
      </c>
      <c r="G586" s="2">
        <v>47</v>
      </c>
      <c r="H586" s="2">
        <v>68</v>
      </c>
      <c r="I586" s="2">
        <v>83</v>
      </c>
      <c r="J586" s="2">
        <v>79.34</v>
      </c>
      <c r="K586" s="2" t="s">
        <v>22</v>
      </c>
      <c r="L586" s="1">
        <f t="shared" si="28"/>
        <v>66</v>
      </c>
      <c r="M586" s="2" t="str">
        <f t="shared" si="29"/>
        <v>Pass</v>
      </c>
      <c r="N586" s="2" t="str">
        <f t="shared" si="27"/>
        <v>Stable</v>
      </c>
    </row>
    <row r="587" spans="1:14" x14ac:dyDescent="0.3">
      <c r="A587" s="2" t="s">
        <v>800</v>
      </c>
      <c r="B587" s="2" t="s">
        <v>695</v>
      </c>
      <c r="C587" s="2" t="s">
        <v>16</v>
      </c>
      <c r="D587" s="2">
        <v>21</v>
      </c>
      <c r="E587" s="2" t="s">
        <v>37</v>
      </c>
      <c r="F587" s="2">
        <v>1</v>
      </c>
      <c r="G587" s="2">
        <v>87</v>
      </c>
      <c r="H587" s="2">
        <v>72</v>
      </c>
      <c r="I587" s="2">
        <v>90</v>
      </c>
      <c r="J587" s="2">
        <v>77.290000000000006</v>
      </c>
      <c r="K587" s="2" t="s">
        <v>18</v>
      </c>
      <c r="L587" s="1">
        <f t="shared" si="28"/>
        <v>83</v>
      </c>
      <c r="M587" s="2" t="str">
        <f t="shared" si="29"/>
        <v>Pass</v>
      </c>
      <c r="N587" s="2" t="str">
        <f t="shared" si="27"/>
        <v>Stable</v>
      </c>
    </row>
    <row r="588" spans="1:14" x14ac:dyDescent="0.3">
      <c r="A588" s="2" t="s">
        <v>801</v>
      </c>
      <c r="B588" s="2" t="s">
        <v>409</v>
      </c>
      <c r="C588" s="2" t="s">
        <v>21</v>
      </c>
      <c r="D588" s="2">
        <v>23</v>
      </c>
      <c r="E588" s="2" t="s">
        <v>34</v>
      </c>
      <c r="F588" s="2">
        <v>1</v>
      </c>
      <c r="G588" s="2">
        <v>98</v>
      </c>
      <c r="H588" s="2">
        <v>85</v>
      </c>
      <c r="I588" s="2">
        <v>89</v>
      </c>
      <c r="J588" s="2">
        <v>75.319999999999993</v>
      </c>
      <c r="K588" s="2" t="s">
        <v>126</v>
      </c>
      <c r="L588" s="1">
        <f t="shared" si="28"/>
        <v>90.666666666666671</v>
      </c>
      <c r="M588" s="2" t="str">
        <f t="shared" si="29"/>
        <v>Pass</v>
      </c>
      <c r="N588" s="2" t="str">
        <f t="shared" si="27"/>
        <v>Stable</v>
      </c>
    </row>
    <row r="589" spans="1:14" x14ac:dyDescent="0.3">
      <c r="A589" s="2" t="s">
        <v>802</v>
      </c>
      <c r="B589" s="2" t="s">
        <v>57</v>
      </c>
      <c r="C589" s="2" t="s">
        <v>21</v>
      </c>
      <c r="D589" s="2">
        <v>20</v>
      </c>
      <c r="E589" s="2" t="s">
        <v>37</v>
      </c>
      <c r="F589" s="2">
        <v>4</v>
      </c>
      <c r="G589" s="2">
        <v>85</v>
      </c>
      <c r="H589" s="2">
        <v>81</v>
      </c>
      <c r="I589" s="2">
        <v>87</v>
      </c>
      <c r="J589" s="2">
        <v>85.48</v>
      </c>
      <c r="K589" s="2" t="s">
        <v>18</v>
      </c>
      <c r="L589" s="1">
        <f t="shared" si="28"/>
        <v>84.333333333333329</v>
      </c>
      <c r="M589" s="2" t="str">
        <f t="shared" si="29"/>
        <v>Pass</v>
      </c>
      <c r="N589" s="2" t="str">
        <f t="shared" si="27"/>
        <v>Stable</v>
      </c>
    </row>
    <row r="590" spans="1:14" x14ac:dyDescent="0.3">
      <c r="A590" s="2" t="s">
        <v>803</v>
      </c>
      <c r="B590" s="2" t="s">
        <v>111</v>
      </c>
      <c r="C590" s="2" t="s">
        <v>21</v>
      </c>
      <c r="D590" s="2">
        <v>22</v>
      </c>
      <c r="E590" s="2" t="s">
        <v>34</v>
      </c>
      <c r="F590" s="2">
        <v>1</v>
      </c>
      <c r="G590" s="2">
        <v>78</v>
      </c>
      <c r="H590" s="2">
        <v>63</v>
      </c>
      <c r="I590" s="2">
        <v>48</v>
      </c>
      <c r="J590" s="2">
        <v>63.91</v>
      </c>
      <c r="K590" s="2" t="s">
        <v>22</v>
      </c>
      <c r="L590" s="1">
        <f t="shared" si="28"/>
        <v>63</v>
      </c>
      <c r="M590" s="2" t="str">
        <f t="shared" si="29"/>
        <v>Pass</v>
      </c>
      <c r="N590" s="2" t="str">
        <f t="shared" si="27"/>
        <v>Stable</v>
      </c>
    </row>
    <row r="591" spans="1:14" x14ac:dyDescent="0.3">
      <c r="A591" s="2" t="s">
        <v>804</v>
      </c>
      <c r="B591" s="2" t="s">
        <v>100</v>
      </c>
      <c r="C591" s="2" t="s">
        <v>16</v>
      </c>
      <c r="D591" s="2">
        <v>21</v>
      </c>
      <c r="E591" s="2" t="s">
        <v>50</v>
      </c>
      <c r="F591" s="2">
        <v>1</v>
      </c>
      <c r="G591" s="2">
        <v>44</v>
      </c>
      <c r="H591" s="2">
        <v>82</v>
      </c>
      <c r="I591" s="2">
        <v>58</v>
      </c>
      <c r="J591" s="2">
        <v>74.05</v>
      </c>
      <c r="K591" s="2" t="s">
        <v>22</v>
      </c>
      <c r="L591" s="1">
        <f t="shared" si="28"/>
        <v>61.333333333333336</v>
      </c>
      <c r="M591" s="2" t="str">
        <f t="shared" si="29"/>
        <v>Pass</v>
      </c>
      <c r="N591" s="2" t="str">
        <f t="shared" si="27"/>
        <v>Stable</v>
      </c>
    </row>
    <row r="592" spans="1:14" x14ac:dyDescent="0.3">
      <c r="A592" s="2" t="s">
        <v>805</v>
      </c>
      <c r="B592" s="2" t="s">
        <v>409</v>
      </c>
      <c r="C592" s="2" t="s">
        <v>21</v>
      </c>
      <c r="D592" s="2">
        <v>20</v>
      </c>
      <c r="E592" s="2" t="s">
        <v>27</v>
      </c>
      <c r="F592" s="2">
        <v>5</v>
      </c>
      <c r="G592" s="2">
        <v>91</v>
      </c>
      <c r="H592" s="2">
        <v>78</v>
      </c>
      <c r="I592" s="2">
        <v>53</v>
      </c>
      <c r="J592" s="2">
        <v>64.83</v>
      </c>
      <c r="K592" s="2" t="s">
        <v>28</v>
      </c>
      <c r="L592" s="1">
        <f t="shared" si="28"/>
        <v>74</v>
      </c>
      <c r="M592" s="2" t="str">
        <f t="shared" si="29"/>
        <v>Pass</v>
      </c>
      <c r="N592" s="2" t="str">
        <f t="shared" si="27"/>
        <v>Stable</v>
      </c>
    </row>
    <row r="593" spans="1:14" x14ac:dyDescent="0.3">
      <c r="A593" s="2" t="s">
        <v>806</v>
      </c>
      <c r="B593" s="2" t="s">
        <v>293</v>
      </c>
      <c r="C593" s="2" t="s">
        <v>21</v>
      </c>
      <c r="D593" s="2">
        <v>19</v>
      </c>
      <c r="E593" s="2" t="s">
        <v>17</v>
      </c>
      <c r="F593" s="2">
        <v>1</v>
      </c>
      <c r="G593" s="2">
        <v>56</v>
      </c>
      <c r="H593" s="2">
        <v>47</v>
      </c>
      <c r="I593" s="2">
        <v>69</v>
      </c>
      <c r="J593" s="2">
        <v>85.67</v>
      </c>
      <c r="K593" s="2" t="s">
        <v>31</v>
      </c>
      <c r="L593" s="1">
        <f t="shared" si="28"/>
        <v>57.333333333333336</v>
      </c>
      <c r="M593" s="2" t="str">
        <f t="shared" si="29"/>
        <v>Pass</v>
      </c>
      <c r="N593" s="2" t="str">
        <f t="shared" si="27"/>
        <v>Monitor</v>
      </c>
    </row>
    <row r="594" spans="1:14" x14ac:dyDescent="0.3">
      <c r="A594" s="2" t="s">
        <v>807</v>
      </c>
      <c r="B594" s="2" t="s">
        <v>289</v>
      </c>
      <c r="C594" s="2" t="s">
        <v>16</v>
      </c>
      <c r="D594" s="2">
        <v>23</v>
      </c>
      <c r="E594" s="2" t="s">
        <v>37</v>
      </c>
      <c r="F594" s="2">
        <v>3</v>
      </c>
      <c r="G594" s="2">
        <v>55</v>
      </c>
      <c r="H594" s="2">
        <v>36</v>
      </c>
      <c r="I594" s="2">
        <v>38</v>
      </c>
      <c r="J594" s="2">
        <v>65.67</v>
      </c>
      <c r="K594" s="2" t="s">
        <v>55</v>
      </c>
      <c r="L594" s="1">
        <f t="shared" si="28"/>
        <v>43</v>
      </c>
      <c r="M594" s="2" t="str">
        <f t="shared" si="29"/>
        <v>Fail</v>
      </c>
      <c r="N594" s="2" t="str">
        <f t="shared" si="27"/>
        <v>High Risk</v>
      </c>
    </row>
    <row r="595" spans="1:14" x14ac:dyDescent="0.3">
      <c r="A595" s="2" t="s">
        <v>808</v>
      </c>
      <c r="B595" s="2" t="s">
        <v>356</v>
      </c>
      <c r="C595" s="2" t="s">
        <v>21</v>
      </c>
      <c r="D595" s="2">
        <v>22</v>
      </c>
      <c r="E595" s="2" t="s">
        <v>50</v>
      </c>
      <c r="F595" s="2">
        <v>4</v>
      </c>
      <c r="G595" s="2">
        <v>93</v>
      </c>
      <c r="H595" s="2">
        <v>49</v>
      </c>
      <c r="I595" s="2">
        <v>50</v>
      </c>
      <c r="J595" s="2">
        <v>65.819999999999993</v>
      </c>
      <c r="K595" s="2" t="s">
        <v>22</v>
      </c>
      <c r="L595" s="1">
        <f t="shared" si="28"/>
        <v>64</v>
      </c>
      <c r="M595" s="2" t="str">
        <f t="shared" si="29"/>
        <v>Pass</v>
      </c>
      <c r="N595" s="2" t="str">
        <f t="shared" si="27"/>
        <v>Stable</v>
      </c>
    </row>
    <row r="596" spans="1:14" x14ac:dyDescent="0.3">
      <c r="A596" s="2" t="s">
        <v>809</v>
      </c>
      <c r="B596" s="2" t="s">
        <v>613</v>
      </c>
      <c r="C596" s="2" t="s">
        <v>21</v>
      </c>
      <c r="D596" s="2">
        <v>19</v>
      </c>
      <c r="E596" s="2" t="s">
        <v>34</v>
      </c>
      <c r="F596" s="2">
        <v>4</v>
      </c>
      <c r="G596" s="2">
        <v>71</v>
      </c>
      <c r="H596" s="2">
        <v>95</v>
      </c>
      <c r="I596" s="2">
        <v>90</v>
      </c>
      <c r="J596" s="2">
        <v>95.05</v>
      </c>
      <c r="K596" s="2" t="s">
        <v>18</v>
      </c>
      <c r="L596" s="1">
        <f t="shared" si="28"/>
        <v>85.333333333333329</v>
      </c>
      <c r="M596" s="2" t="str">
        <f t="shared" si="29"/>
        <v>Pass</v>
      </c>
      <c r="N596" s="2" t="str">
        <f t="shared" si="27"/>
        <v>Stable</v>
      </c>
    </row>
    <row r="597" spans="1:14" x14ac:dyDescent="0.3">
      <c r="A597" s="2" t="s">
        <v>810</v>
      </c>
      <c r="B597" s="2" t="s">
        <v>400</v>
      </c>
      <c r="C597" s="2" t="s">
        <v>21</v>
      </c>
      <c r="D597" s="2">
        <v>20</v>
      </c>
      <c r="E597" s="2" t="s">
        <v>37</v>
      </c>
      <c r="F597" s="2">
        <v>1</v>
      </c>
      <c r="G597" s="2">
        <v>65</v>
      </c>
      <c r="H597" s="2">
        <v>44</v>
      </c>
      <c r="I597" s="2">
        <v>48</v>
      </c>
      <c r="J597" s="2">
        <v>75.72</v>
      </c>
      <c r="K597" s="2" t="s">
        <v>31</v>
      </c>
      <c r="L597" s="1">
        <f t="shared" si="28"/>
        <v>52.333333333333336</v>
      </c>
      <c r="M597" s="2" t="str">
        <f t="shared" si="29"/>
        <v>Pass</v>
      </c>
      <c r="N597" s="2" t="str">
        <f t="shared" si="27"/>
        <v>Monitor</v>
      </c>
    </row>
    <row r="598" spans="1:14" x14ac:dyDescent="0.3">
      <c r="A598" s="2" t="s">
        <v>811</v>
      </c>
      <c r="B598" s="2" t="s">
        <v>347</v>
      </c>
      <c r="C598" s="2" t="s">
        <v>21</v>
      </c>
      <c r="D598" s="2">
        <v>19</v>
      </c>
      <c r="E598" s="2" t="s">
        <v>50</v>
      </c>
      <c r="F598" s="2">
        <v>2</v>
      </c>
      <c r="G598" s="2">
        <v>95</v>
      </c>
      <c r="H598" s="2">
        <v>87</v>
      </c>
      <c r="I598" s="2">
        <v>72</v>
      </c>
      <c r="J598" s="2">
        <v>91.24</v>
      </c>
      <c r="K598" s="2" t="s">
        <v>18</v>
      </c>
      <c r="L598" s="1">
        <f t="shared" si="28"/>
        <v>84.666666666666671</v>
      </c>
      <c r="M598" s="2" t="str">
        <f t="shared" si="29"/>
        <v>Pass</v>
      </c>
      <c r="N598" s="2" t="str">
        <f t="shared" si="27"/>
        <v>Stable</v>
      </c>
    </row>
    <row r="599" spans="1:14" x14ac:dyDescent="0.3">
      <c r="A599" s="2" t="s">
        <v>812</v>
      </c>
      <c r="B599" s="2" t="s">
        <v>695</v>
      </c>
      <c r="C599" s="2" t="s">
        <v>21</v>
      </c>
      <c r="D599" s="2">
        <v>23</v>
      </c>
      <c r="E599" s="2" t="s">
        <v>17</v>
      </c>
      <c r="F599" s="2">
        <v>5</v>
      </c>
      <c r="G599" s="2">
        <v>47</v>
      </c>
      <c r="H599" s="2">
        <v>48</v>
      </c>
      <c r="I599" s="2">
        <v>50</v>
      </c>
      <c r="J599" s="2">
        <v>61.17</v>
      </c>
      <c r="K599" s="2" t="s">
        <v>55</v>
      </c>
      <c r="L599" s="1">
        <f t="shared" si="28"/>
        <v>48.333333333333336</v>
      </c>
      <c r="M599" s="2" t="str">
        <f t="shared" si="29"/>
        <v>Pass</v>
      </c>
      <c r="N599" s="2" t="str">
        <f t="shared" si="27"/>
        <v>Monitor</v>
      </c>
    </row>
    <row r="600" spans="1:14" x14ac:dyDescent="0.3">
      <c r="A600" s="2" t="s">
        <v>813</v>
      </c>
      <c r="B600" s="2" t="s">
        <v>337</v>
      </c>
      <c r="C600" s="2" t="s">
        <v>21</v>
      </c>
      <c r="D600" s="2">
        <v>18</v>
      </c>
      <c r="E600" s="2" t="s">
        <v>37</v>
      </c>
      <c r="F600" s="2">
        <v>6</v>
      </c>
      <c r="G600" s="2">
        <v>83</v>
      </c>
      <c r="H600" s="2">
        <v>65</v>
      </c>
      <c r="I600" s="2">
        <v>55</v>
      </c>
      <c r="J600" s="2">
        <v>76.39</v>
      </c>
      <c r="K600" s="2" t="s">
        <v>22</v>
      </c>
      <c r="L600" s="1">
        <f t="shared" si="28"/>
        <v>67.666666666666671</v>
      </c>
      <c r="M600" s="2" t="str">
        <f t="shared" si="29"/>
        <v>Pass</v>
      </c>
      <c r="N600" s="2" t="str">
        <f t="shared" si="27"/>
        <v>Stable</v>
      </c>
    </row>
    <row r="601" spans="1:14" x14ac:dyDescent="0.3">
      <c r="A601" s="2" t="s">
        <v>814</v>
      </c>
      <c r="B601" s="2" t="s">
        <v>138</v>
      </c>
      <c r="C601" s="2" t="s">
        <v>16</v>
      </c>
      <c r="D601" s="2">
        <v>23</v>
      </c>
      <c r="E601" s="2" t="s">
        <v>27</v>
      </c>
      <c r="F601" s="2">
        <v>5</v>
      </c>
      <c r="G601" s="2">
        <v>67</v>
      </c>
      <c r="H601" s="2">
        <v>84</v>
      </c>
      <c r="I601" s="2">
        <v>63</v>
      </c>
      <c r="J601" s="2">
        <v>85.41</v>
      </c>
      <c r="K601" s="2" t="s">
        <v>28</v>
      </c>
      <c r="L601" s="1">
        <f t="shared" si="28"/>
        <v>71.333333333333329</v>
      </c>
      <c r="M601" s="2" t="str">
        <f t="shared" si="29"/>
        <v>Pass</v>
      </c>
      <c r="N601" s="2" t="str">
        <f t="shared" si="27"/>
        <v>Stable</v>
      </c>
    </row>
  </sheetData>
  <conditionalFormatting sqref="N1:N1048576">
    <cfRule type="containsText" dxfId="2" priority="1" operator="containsText" text="monitor">
      <formula>NOT(ISERROR(SEARCH("monitor",N1)))</formula>
    </cfRule>
    <cfRule type="containsText" dxfId="1" priority="2" operator="containsText" text="high">
      <formula>NOT(ISERROR(SEARCH("high",N1)))</formula>
    </cfRule>
    <cfRule type="containsText" dxfId="0" priority="3" operator="containsText" text="stable">
      <formula>NOT(ISERROR(SEARCH("stable",N1)))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4D389-C3A3-4804-A571-35BA3FCC500A}">
  <dimension ref="A1:H31"/>
  <sheetViews>
    <sheetView workbookViewId="0">
      <selection activeCell="C15" sqref="C15"/>
    </sheetView>
  </sheetViews>
  <sheetFormatPr defaultRowHeight="14.4" x14ac:dyDescent="0.3"/>
  <cols>
    <col min="1" max="1" width="15.109375" style="5" bestFit="1" customWidth="1"/>
    <col min="2" max="2" width="22" style="5" bestFit="1" customWidth="1"/>
    <col min="3" max="3" width="28.44140625" style="5" bestFit="1" customWidth="1"/>
    <col min="4" max="4" width="10.77734375" style="5" bestFit="1" customWidth="1"/>
    <col min="5" max="5" width="15.109375" style="5" bestFit="1" customWidth="1"/>
    <col min="6" max="6" width="28.44140625" style="5" bestFit="1" customWidth="1"/>
    <col min="7" max="7" width="7" style="5" bestFit="1" customWidth="1"/>
    <col min="8" max="8" width="13.44140625" style="5" bestFit="1" customWidth="1"/>
    <col min="9" max="16384" width="8.88671875" style="5"/>
  </cols>
  <sheetData>
    <row r="1" spans="1:8" ht="18.600000000000001" thickBot="1" x14ac:dyDescent="0.4">
      <c r="A1" s="12" t="s">
        <v>815</v>
      </c>
      <c r="B1" s="10">
        <f>SUBTOTAL(9, B7:B11)</f>
        <v>600</v>
      </c>
    </row>
    <row r="2" spans="1:8" ht="18.600000000000001" thickBot="1" x14ac:dyDescent="0.4">
      <c r="A2" s="12" t="s">
        <v>816</v>
      </c>
      <c r="B2" s="13">
        <f>1 - (B4 / B1)</f>
        <v>0.81833333333333336</v>
      </c>
      <c r="E2" s="12" t="s">
        <v>817</v>
      </c>
      <c r="F2" s="12" t="s">
        <v>821</v>
      </c>
      <c r="G2" s="8"/>
    </row>
    <row r="3" spans="1:8" ht="18.600000000000001" thickBot="1" x14ac:dyDescent="0.4">
      <c r="A3" s="12" t="s">
        <v>11</v>
      </c>
      <c r="B3" s="11">
        <f>IFERROR(SUBTOTAL(1, C7:C11), 0)</f>
        <v>67.819792097052243</v>
      </c>
      <c r="E3" s="14">
        <v>1</v>
      </c>
      <c r="F3" s="15">
        <v>68.012820512820511</v>
      </c>
      <c r="G3" s="8"/>
    </row>
    <row r="4" spans="1:8" ht="18.600000000000001" thickBot="1" x14ac:dyDescent="0.4">
      <c r="A4" s="12" t="s">
        <v>828</v>
      </c>
      <c r="B4" s="10">
        <f>SUBTOTAL(9, B16:B20)</f>
        <v>109</v>
      </c>
      <c r="E4" s="14">
        <v>2</v>
      </c>
      <c r="F4" s="15">
        <v>68.042553191489347</v>
      </c>
      <c r="G4" s="8"/>
    </row>
    <row r="5" spans="1:8" ht="18.600000000000001" thickBot="1" x14ac:dyDescent="0.4">
      <c r="E5" s="14">
        <v>3</v>
      </c>
      <c r="F5" s="15">
        <v>67.808080808080831</v>
      </c>
      <c r="G5" s="8"/>
    </row>
    <row r="6" spans="1:8" ht="18.600000000000001" thickBot="1" x14ac:dyDescent="0.4">
      <c r="A6" s="12" t="s">
        <v>817</v>
      </c>
      <c r="B6" s="12" t="s">
        <v>819</v>
      </c>
      <c r="C6" s="12" t="s">
        <v>821</v>
      </c>
      <c r="E6" s="14">
        <v>4</v>
      </c>
      <c r="F6" s="15">
        <v>66.429042904290426</v>
      </c>
      <c r="G6" s="8"/>
    </row>
    <row r="7" spans="1:8" ht="18.600000000000001" thickBot="1" x14ac:dyDescent="0.4">
      <c r="A7" s="14" t="s">
        <v>50</v>
      </c>
      <c r="B7" s="12">
        <v>131</v>
      </c>
      <c r="C7" s="15">
        <v>68.473282442748086</v>
      </c>
      <c r="E7" s="14">
        <v>5</v>
      </c>
      <c r="F7" s="15">
        <v>67.879879879879866</v>
      </c>
      <c r="G7" s="8"/>
    </row>
    <row r="8" spans="1:8" ht="18.600000000000001" thickBot="1" x14ac:dyDescent="0.4">
      <c r="A8" s="14" t="s">
        <v>34</v>
      </c>
      <c r="B8" s="12">
        <v>115</v>
      </c>
      <c r="C8" s="15">
        <v>68.188405797101439</v>
      </c>
      <c r="E8" s="14">
        <v>6</v>
      </c>
      <c r="F8" s="15">
        <v>68.941391941391942</v>
      </c>
      <c r="G8" s="8"/>
    </row>
    <row r="9" spans="1:8" ht="18.600000000000001" thickBot="1" x14ac:dyDescent="0.4">
      <c r="A9" s="14" t="s">
        <v>17</v>
      </c>
      <c r="B9" s="12">
        <v>108</v>
      </c>
      <c r="C9" s="15">
        <v>67.564814814814795</v>
      </c>
      <c r="E9" s="14" t="s">
        <v>818</v>
      </c>
      <c r="F9" s="15">
        <v>67.8333333333333</v>
      </c>
      <c r="G9" s="8"/>
    </row>
    <row r="10" spans="1:8" ht="18.600000000000001" thickBot="1" x14ac:dyDescent="0.4">
      <c r="A10" s="14" t="s">
        <v>37</v>
      </c>
      <c r="B10" s="12">
        <v>117</v>
      </c>
      <c r="C10" s="15">
        <v>67.267806267806236</v>
      </c>
    </row>
    <row r="11" spans="1:8" ht="18.600000000000001" thickBot="1" x14ac:dyDescent="0.4">
      <c r="A11" s="14" t="s">
        <v>27</v>
      </c>
      <c r="B11" s="12">
        <v>129</v>
      </c>
      <c r="C11" s="15">
        <v>67.604651162790688</v>
      </c>
    </row>
    <row r="12" spans="1:8" ht="18.600000000000001" thickBot="1" x14ac:dyDescent="0.4">
      <c r="A12" s="14" t="s">
        <v>818</v>
      </c>
      <c r="B12" s="12">
        <v>600</v>
      </c>
      <c r="C12" s="15">
        <v>67.8333333333334</v>
      </c>
    </row>
    <row r="13" spans="1:8" ht="18.600000000000001" thickBot="1" x14ac:dyDescent="0.4">
      <c r="A13" s="12" t="s">
        <v>12</v>
      </c>
      <c r="B13" s="12" t="s">
        <v>824</v>
      </c>
      <c r="C13" s="9"/>
      <c r="E13" s="12" t="s">
        <v>821</v>
      </c>
      <c r="F13" s="12" t="s">
        <v>823</v>
      </c>
      <c r="G13" s="12"/>
      <c r="H13" s="12"/>
    </row>
    <row r="14" spans="1:8" ht="18.600000000000001" thickBot="1" x14ac:dyDescent="0.4">
      <c r="E14" s="12" t="s">
        <v>817</v>
      </c>
      <c r="F14" s="12" t="s">
        <v>21</v>
      </c>
      <c r="G14" s="12" t="s">
        <v>16</v>
      </c>
      <c r="H14" s="12" t="s">
        <v>818</v>
      </c>
    </row>
    <row r="15" spans="1:8" ht="18.600000000000001" thickBot="1" x14ac:dyDescent="0.4">
      <c r="A15" s="12" t="s">
        <v>817</v>
      </c>
      <c r="B15" s="12" t="s">
        <v>822</v>
      </c>
      <c r="E15" s="14" t="s">
        <v>50</v>
      </c>
      <c r="F15" s="15">
        <v>69.48484848484847</v>
      </c>
      <c r="G15" s="15">
        <v>67.446153846153862</v>
      </c>
      <c r="H15" s="15">
        <v>68.473282442748086</v>
      </c>
    </row>
    <row r="16" spans="1:8" ht="18.600000000000001" thickBot="1" x14ac:dyDescent="0.4">
      <c r="A16" s="14" t="s">
        <v>50</v>
      </c>
      <c r="B16" s="12">
        <v>24</v>
      </c>
      <c r="E16" s="14" t="s">
        <v>34</v>
      </c>
      <c r="F16" s="15">
        <v>67.387096774193552</v>
      </c>
      <c r="G16" s="15">
        <v>69.125786163522037</v>
      </c>
      <c r="H16" s="15">
        <v>68.188405797101453</v>
      </c>
    </row>
    <row r="17" spans="1:8" ht="18.600000000000001" thickBot="1" x14ac:dyDescent="0.4">
      <c r="A17" s="14" t="s">
        <v>34</v>
      </c>
      <c r="B17" s="12">
        <v>19</v>
      </c>
      <c r="E17" s="14" t="s">
        <v>17</v>
      </c>
      <c r="F17" s="15">
        <v>68.093567251462005</v>
      </c>
      <c r="G17" s="15">
        <v>66.973856209150327</v>
      </c>
      <c r="H17" s="15">
        <v>67.564814814814838</v>
      </c>
    </row>
    <row r="18" spans="1:8" ht="18.600000000000001" thickBot="1" x14ac:dyDescent="0.4">
      <c r="A18" s="14" t="s">
        <v>17</v>
      </c>
      <c r="B18" s="12">
        <v>18</v>
      </c>
      <c r="E18" s="14" t="s">
        <v>37</v>
      </c>
      <c r="F18" s="15">
        <v>67.692307692307693</v>
      </c>
      <c r="G18" s="15">
        <v>66.737179487179503</v>
      </c>
      <c r="H18" s="15">
        <v>67.267806267806279</v>
      </c>
    </row>
    <row r="19" spans="1:8" ht="18.600000000000001" thickBot="1" x14ac:dyDescent="0.4">
      <c r="A19" s="14" t="s">
        <v>37</v>
      </c>
      <c r="B19" s="12">
        <v>25</v>
      </c>
      <c r="E19" s="14" t="s">
        <v>27</v>
      </c>
      <c r="F19" s="15">
        <v>65.748917748917734</v>
      </c>
      <c r="G19" s="15">
        <v>70.352564102564116</v>
      </c>
      <c r="H19" s="15">
        <v>67.60465116279066</v>
      </c>
    </row>
    <row r="20" spans="1:8" ht="18.600000000000001" thickBot="1" x14ac:dyDescent="0.4">
      <c r="A20" s="14" t="s">
        <v>27</v>
      </c>
      <c r="B20" s="12">
        <v>23</v>
      </c>
      <c r="E20" s="14" t="s">
        <v>818</v>
      </c>
      <c r="F20" s="15">
        <v>67.608562691131411</v>
      </c>
      <c r="G20" s="15">
        <v>68.102564102564074</v>
      </c>
      <c r="H20" s="15">
        <v>67.833333333333329</v>
      </c>
    </row>
    <row r="21" spans="1:8" ht="18.600000000000001" thickBot="1" x14ac:dyDescent="0.4">
      <c r="A21" s="14" t="s">
        <v>818</v>
      </c>
      <c r="B21" s="12">
        <v>109</v>
      </c>
    </row>
    <row r="23" spans="1:8" ht="15" thickBot="1" x14ac:dyDescent="0.35"/>
    <row r="24" spans="1:8" ht="18.600000000000001" thickBot="1" x14ac:dyDescent="0.4">
      <c r="B24" s="12" t="s">
        <v>817</v>
      </c>
      <c r="C24" s="12" t="s">
        <v>820</v>
      </c>
    </row>
    <row r="25" spans="1:8" ht="18.600000000000001" thickBot="1" x14ac:dyDescent="0.4">
      <c r="B25" s="14" t="s">
        <v>170</v>
      </c>
      <c r="C25" s="15">
        <v>53</v>
      </c>
    </row>
    <row r="26" spans="1:8" ht="18.600000000000001" thickBot="1" x14ac:dyDescent="0.4">
      <c r="B26" s="14" t="s">
        <v>89</v>
      </c>
      <c r="C26" s="15">
        <v>50.333333333333336</v>
      </c>
    </row>
    <row r="27" spans="1:8" ht="18.600000000000001" thickBot="1" x14ac:dyDescent="0.4">
      <c r="B27" s="14" t="s">
        <v>540</v>
      </c>
      <c r="C27" s="15">
        <v>47.666666666666664</v>
      </c>
    </row>
    <row r="28" spans="1:8" ht="18.600000000000001" thickBot="1" x14ac:dyDescent="0.4">
      <c r="B28" s="14" t="s">
        <v>597</v>
      </c>
      <c r="C28" s="15">
        <v>45</v>
      </c>
    </row>
    <row r="29" spans="1:8" ht="18.600000000000001" thickBot="1" x14ac:dyDescent="0.4">
      <c r="B29" s="14" t="s">
        <v>184</v>
      </c>
      <c r="C29" s="15">
        <v>53.666666666666664</v>
      </c>
    </row>
    <row r="30" spans="1:8" ht="18.600000000000001" thickBot="1" x14ac:dyDescent="0.4">
      <c r="B30" s="14" t="s">
        <v>818</v>
      </c>
      <c r="C30" s="15">
        <v>249.66666666666666</v>
      </c>
    </row>
    <row r="31" spans="1:8" x14ac:dyDescent="0.3">
      <c r="B31"/>
      <c r="C3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2204B-0F19-45D7-AE6A-F569F394BE6C}">
  <dimension ref="A1"/>
  <sheetViews>
    <sheetView showGridLines="0" tabSelected="1" workbookViewId="0">
      <selection activeCell="F34" sqref="F34"/>
    </sheetView>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137AC-5545-459E-8862-D248775E8D7B}">
  <dimension ref="A1:F32"/>
  <sheetViews>
    <sheetView showGridLines="0" workbookViewId="0">
      <selection activeCell="L21" sqref="L21"/>
    </sheetView>
  </sheetViews>
  <sheetFormatPr defaultRowHeight="14.4" x14ac:dyDescent="0.3"/>
  <cols>
    <col min="1" max="1" width="19.109375" style="5" bestFit="1" customWidth="1"/>
    <col min="2" max="2" width="28.88671875" style="5" bestFit="1" customWidth="1"/>
    <col min="3" max="3" width="14.21875" style="5" bestFit="1" customWidth="1"/>
    <col min="4" max="4" width="11" style="5" bestFit="1" customWidth="1"/>
    <col min="5" max="5" width="19.5546875" style="5" bestFit="1" customWidth="1"/>
    <col min="6" max="16384" width="8.88671875" style="5"/>
  </cols>
  <sheetData>
    <row r="1" spans="1:6" ht="23.4" x14ac:dyDescent="0.45">
      <c r="A1" s="16" t="s">
        <v>817</v>
      </c>
      <c r="B1" s="17" t="s">
        <v>819</v>
      </c>
      <c r="C1" s="7"/>
    </row>
    <row r="2" spans="1:6" ht="23.4" x14ac:dyDescent="0.45">
      <c r="A2" s="18" t="s">
        <v>825</v>
      </c>
      <c r="B2" s="17">
        <v>109</v>
      </c>
    </row>
    <row r="3" spans="1:6" ht="23.4" x14ac:dyDescent="0.45">
      <c r="A3" s="18" t="s">
        <v>826</v>
      </c>
      <c r="B3" s="17">
        <v>84</v>
      </c>
    </row>
    <row r="4" spans="1:6" ht="23.4" x14ac:dyDescent="0.45">
      <c r="A4" s="18" t="s">
        <v>827</v>
      </c>
      <c r="B4" s="17">
        <v>407</v>
      </c>
    </row>
    <row r="5" spans="1:6" ht="23.4" x14ac:dyDescent="0.45">
      <c r="A5" s="18" t="s">
        <v>818</v>
      </c>
      <c r="B5" s="17">
        <v>600</v>
      </c>
    </row>
    <row r="7" spans="1:6" ht="25.8" x14ac:dyDescent="0.5">
      <c r="A7" s="19" t="s">
        <v>819</v>
      </c>
      <c r="B7" s="19" t="s">
        <v>823</v>
      </c>
      <c r="C7" s="19"/>
      <c r="D7" s="19"/>
      <c r="E7" s="19"/>
    </row>
    <row r="8" spans="1:6" ht="25.8" x14ac:dyDescent="0.5">
      <c r="A8" s="19" t="s">
        <v>817</v>
      </c>
      <c r="B8" s="19" t="s">
        <v>825</v>
      </c>
      <c r="C8" s="19" t="s">
        <v>826</v>
      </c>
      <c r="D8" s="19" t="s">
        <v>827</v>
      </c>
      <c r="E8" s="19" t="s">
        <v>818</v>
      </c>
    </row>
    <row r="9" spans="1:6" ht="25.8" x14ac:dyDescent="0.5">
      <c r="A9" s="20" t="s">
        <v>50</v>
      </c>
      <c r="B9" s="19">
        <v>24</v>
      </c>
      <c r="C9" s="19">
        <v>13</v>
      </c>
      <c r="D9" s="19">
        <v>94</v>
      </c>
      <c r="E9" s="19">
        <v>131</v>
      </c>
    </row>
    <row r="10" spans="1:6" ht="25.8" x14ac:dyDescent="0.5">
      <c r="A10" s="20" t="s">
        <v>34</v>
      </c>
      <c r="B10" s="19">
        <v>19</v>
      </c>
      <c r="C10" s="19">
        <v>18</v>
      </c>
      <c r="D10" s="19">
        <v>78</v>
      </c>
      <c r="E10" s="19">
        <v>115</v>
      </c>
    </row>
    <row r="11" spans="1:6" ht="25.8" x14ac:dyDescent="0.5">
      <c r="A11" s="20" t="s">
        <v>17</v>
      </c>
      <c r="B11" s="19">
        <v>18</v>
      </c>
      <c r="C11" s="19">
        <v>15</v>
      </c>
      <c r="D11" s="19">
        <v>75</v>
      </c>
      <c r="E11" s="19">
        <v>108</v>
      </c>
    </row>
    <row r="12" spans="1:6" ht="25.8" x14ac:dyDescent="0.5">
      <c r="A12" s="20" t="s">
        <v>37</v>
      </c>
      <c r="B12" s="19">
        <v>25</v>
      </c>
      <c r="C12" s="19">
        <v>14</v>
      </c>
      <c r="D12" s="19">
        <v>78</v>
      </c>
      <c r="E12" s="19">
        <v>117</v>
      </c>
    </row>
    <row r="13" spans="1:6" ht="25.8" x14ac:dyDescent="0.5">
      <c r="A13" s="20" t="s">
        <v>27</v>
      </c>
      <c r="B13" s="19">
        <v>23</v>
      </c>
      <c r="C13" s="19">
        <v>24</v>
      </c>
      <c r="D13" s="19">
        <v>82</v>
      </c>
      <c r="E13" s="19">
        <v>129</v>
      </c>
    </row>
    <row r="14" spans="1:6" ht="25.8" x14ac:dyDescent="0.5">
      <c r="A14" s="20" t="s">
        <v>818</v>
      </c>
      <c r="B14" s="19">
        <v>109</v>
      </c>
      <c r="C14" s="19">
        <v>84</v>
      </c>
      <c r="D14" s="19">
        <v>407</v>
      </c>
      <c r="E14" s="19">
        <v>600</v>
      </c>
    </row>
    <row r="15" spans="1:6" ht="18" x14ac:dyDescent="0.35">
      <c r="A15" s="6"/>
      <c r="B15" s="6"/>
      <c r="C15" s="6"/>
      <c r="D15" s="6"/>
      <c r="E15" s="6"/>
    </row>
    <row r="16" spans="1:6" x14ac:dyDescent="0.3">
      <c r="A16" s="8"/>
      <c r="B16" s="8"/>
      <c r="C16" s="8"/>
      <c r="D16" s="8"/>
      <c r="E16" s="8"/>
      <c r="F16" s="8"/>
    </row>
    <row r="17" spans="1:6" x14ac:dyDescent="0.3">
      <c r="A17" s="8"/>
      <c r="B17" s="8"/>
      <c r="C17" s="8"/>
      <c r="D17" s="8"/>
      <c r="E17" s="8"/>
      <c r="F17" s="8"/>
    </row>
    <row r="18" spans="1:6" x14ac:dyDescent="0.3">
      <c r="A18" s="8"/>
      <c r="B18" s="8"/>
      <c r="C18" s="8"/>
      <c r="D18" s="8"/>
      <c r="E18" s="8"/>
      <c r="F18" s="8"/>
    </row>
    <row r="19" spans="1:6" x14ac:dyDescent="0.3">
      <c r="A19" s="8"/>
      <c r="B19" s="8"/>
      <c r="C19" s="8"/>
      <c r="D19" s="8"/>
      <c r="E19" s="8"/>
      <c r="F19" s="8"/>
    </row>
    <row r="20" spans="1:6" x14ac:dyDescent="0.3">
      <c r="A20" s="8"/>
      <c r="B20" s="8"/>
      <c r="C20" s="8"/>
      <c r="D20" s="8"/>
      <c r="E20" s="8"/>
      <c r="F20" s="8"/>
    </row>
    <row r="21" spans="1:6" x14ac:dyDescent="0.3">
      <c r="A21" s="8"/>
      <c r="B21" s="8"/>
      <c r="C21" s="8"/>
      <c r="D21" s="8"/>
      <c r="E21" s="8"/>
      <c r="F21" s="8"/>
    </row>
    <row r="22" spans="1:6" x14ac:dyDescent="0.3">
      <c r="A22" s="8"/>
      <c r="B22" s="8"/>
      <c r="C22" s="8"/>
      <c r="D22" s="8"/>
      <c r="E22" s="8"/>
      <c r="F22" s="8"/>
    </row>
    <row r="23" spans="1:6" x14ac:dyDescent="0.3">
      <c r="A23" s="8"/>
      <c r="B23" s="8"/>
      <c r="C23" s="8"/>
      <c r="D23" s="8"/>
      <c r="E23" s="8"/>
      <c r="F23" s="8"/>
    </row>
    <row r="24" spans="1:6" x14ac:dyDescent="0.3">
      <c r="A24" s="8"/>
      <c r="B24" s="8"/>
      <c r="C24" s="8"/>
      <c r="D24" s="8"/>
      <c r="E24" s="8"/>
      <c r="F24" s="8"/>
    </row>
    <row r="25" spans="1:6" x14ac:dyDescent="0.3">
      <c r="A25" s="8"/>
      <c r="B25" s="8"/>
      <c r="C25" s="8"/>
      <c r="D25" s="8"/>
      <c r="E25" s="8"/>
      <c r="F25" s="8"/>
    </row>
    <row r="26" spans="1:6" x14ac:dyDescent="0.3">
      <c r="A26" s="8"/>
      <c r="B26" s="8"/>
      <c r="C26" s="8"/>
      <c r="D26" s="8"/>
      <c r="E26" s="8"/>
      <c r="F26" s="8"/>
    </row>
    <row r="27" spans="1:6" x14ac:dyDescent="0.3">
      <c r="A27" s="8"/>
      <c r="B27" s="8"/>
      <c r="C27" s="8"/>
      <c r="D27" s="8"/>
      <c r="E27" s="8"/>
      <c r="F27" s="8"/>
    </row>
    <row r="28" spans="1:6" x14ac:dyDescent="0.3">
      <c r="A28" s="8"/>
      <c r="B28" s="8"/>
      <c r="C28" s="8"/>
      <c r="D28" s="8"/>
      <c r="E28" s="8"/>
      <c r="F28" s="8"/>
    </row>
    <row r="29" spans="1:6" x14ac:dyDescent="0.3">
      <c r="A29" s="8"/>
      <c r="B29" s="8"/>
      <c r="C29" s="8"/>
      <c r="D29" s="8"/>
      <c r="E29" s="8"/>
      <c r="F29" s="8"/>
    </row>
    <row r="30" spans="1:6" x14ac:dyDescent="0.3">
      <c r="A30" s="8"/>
      <c r="B30" s="8"/>
      <c r="C30" s="8"/>
      <c r="D30" s="8"/>
      <c r="E30" s="8"/>
      <c r="F30" s="8"/>
    </row>
    <row r="31" spans="1:6" x14ac:dyDescent="0.3">
      <c r="A31" s="8"/>
      <c r="B31" s="8"/>
      <c r="C31" s="8"/>
      <c r="D31" s="8"/>
      <c r="E31" s="8"/>
      <c r="F31" s="8"/>
    </row>
    <row r="32" spans="1:6" x14ac:dyDescent="0.3">
      <c r="A32" s="8"/>
      <c r="B32" s="8"/>
      <c r="C32" s="8"/>
      <c r="D32" s="8"/>
      <c r="E32" s="8"/>
      <c r="F32"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DEBD8-BFAE-4591-8445-550C24BAD640}">
  <dimension ref="A1"/>
  <sheetViews>
    <sheetView showGridLines="0" workbookViewId="0">
      <selection activeCell="N10" sqref="N10"/>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STUDENT PERFORMANCE</vt:lpstr>
      <vt:lpstr>DASHBOARD ANALYSIS</vt:lpstr>
      <vt:lpstr>DASHBOARD 1</vt:lpstr>
      <vt:lpstr>INSIGHT ANALYSIS</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Bhanu Yaswanth</dc:creator>
  <cp:lastModifiedBy>Bhanu Yaswanth</cp:lastModifiedBy>
  <dcterms:created xsi:type="dcterms:W3CDTF">2026-04-08T14:52:50Z</dcterms:created>
  <dcterms:modified xsi:type="dcterms:W3CDTF">2026-04-18T12:45:13Z</dcterms:modified>
</cp:coreProperties>
</file>